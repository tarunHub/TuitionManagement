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Fee Structure" sheetId="2" r:id="rId6"/>
    <sheet state="visible" name="Schedule" sheetId="3" r:id="rId7"/>
    <sheet state="visible" name="Students" sheetId="4" r:id="rId8"/>
    <sheet state="visible" name="Attendance Aug 2026" sheetId="5" r:id="rId9"/>
    <sheet state="visible" name="Fees Aug 2026" sheetId="6" r:id="rId10"/>
    <sheet state="visible" name="Report Aug 2026" sheetId="7" r:id="rId11"/>
    <sheet state="visible" name="Attendance Sep 2026" sheetId="8" r:id="rId12"/>
    <sheet state="visible" name="Fees Sep 2026" sheetId="9" r:id="rId13"/>
    <sheet state="visible" name="Report Sep 2026" sheetId="10" r:id="rId14"/>
    <sheet state="visible" name="Attendance Oct 2026" sheetId="11" r:id="rId15"/>
    <sheet state="visible" name="Fees Oct 2026" sheetId="12" r:id="rId16"/>
    <sheet state="visible" name="Report Oct 2026" sheetId="13" r:id="rId17"/>
    <sheet state="visible" name="Attendance Nov 2026" sheetId="14" r:id="rId18"/>
    <sheet state="visible" name="Fees Nov 2026" sheetId="15" r:id="rId19"/>
    <sheet state="visible" name="Attendance Dec 2026" sheetId="16" r:id="rId20"/>
    <sheet state="visible" name="Fees Dec 2026" sheetId="17" r:id="rId21"/>
    <sheet state="visible" name="Payments Log" sheetId="18" r:id="rId22"/>
    <sheet state="visible" name="Dashboard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Set each child's grade — it drives their per-class rate automatically.</t>
      </text>
    </comment>
  </commentList>
</comments>
</file>

<file path=xl/sharedStrings.xml><?xml version="1.0" encoding="utf-8"?>
<sst xmlns="http://schemas.openxmlformats.org/spreadsheetml/2006/main" count="1117" uniqueCount="315">
  <si>
    <t>Grade</t>
  </si>
  <si>
    <t>Student ID</t>
  </si>
  <si>
    <t>CLASS SCHEDULE</t>
  </si>
  <si>
    <t>SMART START — Student Management Workbook</t>
  </si>
  <si>
    <t>Per-Class Rate ($)</t>
  </si>
  <si>
    <t>Notes</t>
  </si>
  <si>
    <t>Full Name</t>
  </si>
  <si>
    <t>Date of Birth</t>
  </si>
  <si>
    <t>JK</t>
  </si>
  <si>
    <t>Grade / Level</t>
  </si>
  <si>
    <t>School</t>
  </si>
  <si>
    <t>Subjects Enrolled</t>
  </si>
  <si>
    <t>Address</t>
  </si>
  <si>
    <t>Parent / Guardian Name</t>
  </si>
  <si>
    <t>Primary Contact</t>
  </si>
  <si>
    <t>Alternate Contact</t>
  </si>
  <si>
    <t>Email</t>
  </si>
  <si>
    <t>Emergency Contact Name</t>
  </si>
  <si>
    <t>Attendance • Student Records • Per-Class Fees</t>
  </si>
  <si>
    <t>Emergency Contact Phone</t>
  </si>
  <si>
    <t>Enrollment Date</t>
  </si>
  <si>
    <t>Status</t>
  </si>
  <si>
    <t>Junior Kindergarten</t>
  </si>
  <si>
    <t>SK</t>
  </si>
  <si>
    <t>SS000</t>
  </si>
  <si>
    <t>Senior Kindergarten</t>
  </si>
  <si>
    <t>Grade 1</t>
  </si>
  <si>
    <t>Grade 2</t>
  </si>
  <si>
    <t>Grade 3</t>
  </si>
  <si>
    <t>Grade 4</t>
  </si>
  <si>
    <t>Grade 5</t>
  </si>
  <si>
    <t>(Example) Priya Sharma</t>
  </si>
  <si>
    <t>HOW THE COLOURS WORK</t>
  </si>
  <si>
    <t>2015-04-12</t>
  </si>
  <si>
    <t>Grade 6</t>
  </si>
  <si>
    <t>The timetable that feeds Google Calendar. Fill the config + rows below, then run the sync script (see setup guide).</t>
  </si>
  <si>
    <t>Coding</t>
  </si>
  <si>
    <t>Yellow cells</t>
  </si>
  <si>
    <t>You type in these — the only cells you edit.</t>
  </si>
  <si>
    <t>White / grey cells</t>
  </si>
  <si>
    <t>Calculated automatically. Leave them alone; they update on their own.</t>
  </si>
  <si>
    <t>HOW FEES WORK (per class)</t>
  </si>
  <si>
    <t>Rate by grade</t>
  </si>
  <si>
    <t>Fees are charged per class attended. Rate depends on grade: JK &amp; SK = $10, Grade 1-4 = $15, Grade 5-8 = $20. These live in the Fee Structure sheet.</t>
  </si>
  <si>
    <t>Grade 7</t>
  </si>
  <si>
    <t>Automatic billing</t>
  </si>
  <si>
    <t>Grade 8</t>
  </si>
  <si>
    <t>Set each child's Grade in the Students sheet. Their per-class rate fills in automatically. The Fees sheet then multiplies classes attended (from Attendance) by that rate to get the amount due.</t>
  </si>
  <si>
    <t>Rates are per class attended. Edit the yellow rate cells if pricing changes.</t>
  </si>
  <si>
    <t>THE SHEETS</t>
  </si>
  <si>
    <t>Students</t>
  </si>
  <si>
    <t>Master list: name, parents, contact, address, grade, subjects, per-class rate (auto), status. Source of truth — set each child's Grade here.</t>
  </si>
  <si>
    <t>Fee Structure</t>
  </si>
  <si>
    <t>The per-class price list by grade. Formulas read the rate from here — edit the numbers if your pricing changes.</t>
  </si>
  <si>
    <t>Attendance Aug 2026</t>
  </si>
  <si>
    <t>Mark P (present) or A (absent) per child per class day. Present count feeds the fee calculation.</t>
  </si>
  <si>
    <t>Fees Aug 2026</t>
  </si>
  <si>
    <t>Amount due = classes attended x per-class rate (both filled automatically). Type the Amount Paid; Balance and Status calculate themselves.</t>
  </si>
  <si>
    <t>Payments Log</t>
  </si>
  <si>
    <t>A running receipt book — one line per payment received.</t>
  </si>
  <si>
    <t>Dashboard</t>
  </si>
  <si>
    <t>Live totals: active students, fees billed / collected / outstanding, average attendance.</t>
  </si>
  <si>
    <t>Term Start</t>
  </si>
  <si>
    <t>MAKING A NEW MONTH</t>
  </si>
  <si>
    <t>Duplicate the tab</t>
  </si>
  <si>
    <t>Right-click 'Attendance Aug 2026' (or 'Fees Aug 2026') → Duplicate → rename to the new month. Formulas copy across.</t>
  </si>
  <si>
    <t>BILLING ASSUMPTION</t>
  </si>
  <si>
    <t>Charged on classes held</t>
  </si>
  <si>
    <t>2026-09-02</t>
  </si>
  <si>
    <t>A child is billed for every class held (present + absent) — absences are still charged. Only days left blank (no class) are free. Want to bill on attendance instead? Just ask.</t>
  </si>
  <si>
    <t>YOUR EXISTING DATA</t>
  </si>
  <si>
    <t>Carried over</t>
  </si>
  <si>
    <t>Roster: Fateh, Amolpreet, Ravjot, Alaina. Prior Aug totals (old sheet, ~Aug 11): Fateh 5 · Amolpreet 6 · Ravjot 2 · Alaina 0 classes. Daily marks were inconsistent across your old tabs, so the grid is blank to fill going forward. Set each child's Grade so their rate and fees calculate.</t>
  </si>
  <si>
    <t>← first day classes run</t>
  </si>
  <si>
    <t>Term End</t>
  </si>
  <si>
    <t>2026-12-19</t>
  </si>
  <si>
    <t>← last day classes run</t>
  </si>
  <si>
    <t>Calendar Name</t>
  </si>
  <si>
    <t>Smart Start Classes</t>
  </si>
  <si>
    <t>← the calendar events go into</t>
  </si>
  <si>
    <t>Maple Ridge PS</t>
  </si>
  <si>
    <t>Math, English</t>
  </si>
  <si>
    <t>12 King St, Caledon, ON</t>
  </si>
  <si>
    <t>Anita Sharma</t>
  </si>
  <si>
    <t>416-555-0100</t>
  </si>
  <si>
    <t>647-555-0100</t>
  </si>
  <si>
    <t>anita@email.com</t>
  </si>
  <si>
    <t>Rohit Sharma</t>
  </si>
  <si>
    <t>416-555-0199</t>
  </si>
  <si>
    <t>Group / Class</t>
  </si>
  <si>
    <t>2026-01-15</t>
  </si>
  <si>
    <t>Day</t>
  </si>
  <si>
    <t>Start (HH:MM)</t>
  </si>
  <si>
    <t>End (HH:MM)</t>
  </si>
  <si>
    <t>Subject</t>
  </si>
  <si>
    <t>Location</t>
  </si>
  <si>
    <t>Teacher</t>
  </si>
  <si>
    <t>Parent Emails (comma-separated)</t>
  </si>
  <si>
    <t>(Example) Grade 1-4 Core</t>
  </si>
  <si>
    <t>Wed</t>
  </si>
  <si>
    <t>23:20</t>
  </si>
  <si>
    <t>23:30</t>
  </si>
  <si>
    <t>Math &amp; English</t>
  </si>
  <si>
    <t>Caledon Centre</t>
  </si>
  <si>
    <t>Tarun</t>
  </si>
  <si>
    <t>messielectra@gmail.com</t>
  </si>
  <si>
    <t>Weekly</t>
  </si>
  <si>
    <t>Thu</t>
  </si>
  <si>
    <t>17:00</t>
  </si>
  <si>
    <t>18:00</t>
  </si>
  <si>
    <t>parent1@email.com, parent2@email.com</t>
  </si>
  <si>
    <t>(Example) Grade 5-8 Core</t>
  </si>
  <si>
    <t>Sat</t>
  </si>
  <si>
    <t>10:00</t>
  </si>
  <si>
    <t>11:30</t>
  </si>
  <si>
    <t>Math/Eng/Sci</t>
  </si>
  <si>
    <t>parent3@email.com</t>
  </si>
  <si>
    <t>Example</t>
  </si>
  <si>
    <t>← EXAMPLE ROW — delete before use</t>
  </si>
  <si>
    <t>SS001</t>
  </si>
  <si>
    <t>Fateh</t>
  </si>
  <si>
    <t>Tony Pontes Public School</t>
  </si>
  <si>
    <t>All</t>
  </si>
  <si>
    <t>62 Blackberry valley Crescent, Caledon, ON</t>
  </si>
  <si>
    <t>Jasbir</t>
  </si>
  <si>
    <t>416-893-0898</t>
  </si>
  <si>
    <t>Batch1</t>
  </si>
  <si>
    <t>Active</t>
  </si>
  <si>
    <t>SS002</t>
  </si>
  <si>
    <t>Ravjodh</t>
  </si>
  <si>
    <t>158 Newhouse Boulevard</t>
  </si>
  <si>
    <t>Maninder</t>
  </si>
  <si>
    <t>647-201-6812</t>
  </si>
  <si>
    <t>Batch3</t>
  </si>
  <si>
    <t>Times are 24-hour text, e.g. 17:00. Delete the green example rows before syncing. Parent Emails get calendar invites.</t>
  </si>
  <si>
    <t>SS003</t>
  </si>
  <si>
    <t>Alaina</t>
  </si>
  <si>
    <t>156 Newhouse boulevard</t>
  </si>
  <si>
    <t>Priya Tandon</t>
  </si>
  <si>
    <t>226-886-4462</t>
  </si>
  <si>
    <t>Want to pair the same day as Ravjodh</t>
  </si>
  <si>
    <t>SS004</t>
  </si>
  <si>
    <t>Kaya</t>
  </si>
  <si>
    <t>Bina</t>
  </si>
  <si>
    <t>647-708-8550</t>
  </si>
  <si>
    <t>SS005</t>
  </si>
  <si>
    <t>Gurshabd Singh Rawala</t>
  </si>
  <si>
    <t>48 Blackberry Valley Crescent Caledon</t>
  </si>
  <si>
    <t>Ashwinder</t>
  </si>
  <si>
    <t>647-939-6794
437-430-6111</t>
  </si>
  <si>
    <t>Batch2</t>
  </si>
  <si>
    <t>SS006</t>
  </si>
  <si>
    <t>Baani Purba</t>
  </si>
  <si>
    <t>James Grieve Public School</t>
  </si>
  <si>
    <t>27 Valleyscape Trail, Caledon</t>
  </si>
  <si>
    <t>Gagandeep Purba</t>
  </si>
  <si>
    <t>647-260-6420
647-648-5718</t>
  </si>
  <si>
    <t>Planned from sept 8</t>
  </si>
  <si>
    <t>SS007</t>
  </si>
  <si>
    <t>Avneet Kaur Grewal</t>
  </si>
  <si>
    <t>25 Valleyscape Trail, Caledon</t>
  </si>
  <si>
    <t>Jagdip Singh Grewal</t>
  </si>
  <si>
    <t>416-844-6548
647-389-6783</t>
  </si>
  <si>
    <t>SS008</t>
  </si>
  <si>
    <t>Tanisha</t>
  </si>
  <si>
    <t>Mayfield secondary school</t>
  </si>
  <si>
    <t>Ruchi</t>
  </si>
  <si>
    <t>Batch4</t>
  </si>
  <si>
    <t>SS009</t>
  </si>
  <si>
    <t>xyz</t>
  </si>
  <si>
    <t>Somerset Public school</t>
  </si>
  <si>
    <t>Sharn</t>
  </si>
  <si>
    <t>Inquiry</t>
  </si>
  <si>
    <t>SS010</t>
  </si>
  <si>
    <t>Ekamjot</t>
  </si>
  <si>
    <t>Inactive</t>
  </si>
  <si>
    <t>SS011</t>
  </si>
  <si>
    <t>Viraj</t>
  </si>
  <si>
    <t>Sonia</t>
  </si>
  <si>
    <t>SS012</t>
  </si>
  <si>
    <t>Amolpreet</t>
  </si>
  <si>
    <t>560 Dougall Avenue, Caledon</t>
  </si>
  <si>
    <t>Khushi</t>
  </si>
  <si>
    <t>437-979-7072</t>
  </si>
  <si>
    <t>SS013</t>
  </si>
  <si>
    <t>Ekjot</t>
  </si>
  <si>
    <t>Aman</t>
  </si>
  <si>
    <t>647-473-2683</t>
  </si>
  <si>
    <t>Want classes on weekend atleast1</t>
  </si>
  <si>
    <t>SS014</t>
  </si>
  <si>
    <t>Aarna</t>
  </si>
  <si>
    <t>Gopinath</t>
  </si>
  <si>
    <t>289-207-2439</t>
  </si>
  <si>
    <t>SS015</t>
  </si>
  <si>
    <t>Riddhi</t>
  </si>
  <si>
    <t>437-688-3621</t>
  </si>
  <si>
    <t>SS016</t>
  </si>
  <si>
    <t>Mahesh Patel</t>
  </si>
  <si>
    <t>437-376-2743</t>
  </si>
  <si>
    <t>Need ceritified teacher</t>
  </si>
  <si>
    <t>SS017</t>
  </si>
  <si>
    <t>SS018</t>
  </si>
  <si>
    <t>ATTENDANCE — AUGUST 2026</t>
  </si>
  <si>
    <t>Mark  P = Present   ·   A = Absent   ·   blank if no class. Totals calculate automatically.</t>
  </si>
  <si>
    <t>S</t>
  </si>
  <si>
    <t>M</t>
  </si>
  <si>
    <t>T</t>
  </si>
  <si>
    <t>W</t>
  </si>
  <si>
    <t>F</t>
  </si>
  <si>
    <t>Name</t>
  </si>
  <si>
    <t>Total Classes Scheduled</t>
  </si>
  <si>
    <t>Present</t>
  </si>
  <si>
    <t>Absent</t>
  </si>
  <si>
    <t>Classes Held</t>
  </si>
  <si>
    <t>Attendance %</t>
  </si>
  <si>
    <t>Batches</t>
  </si>
  <si>
    <t>P</t>
  </si>
  <si>
    <t>A</t>
  </si>
  <si>
    <t>Gurshabd</t>
  </si>
  <si>
    <t>Prior Aug totals (old sheet, ~Aug 11): Fateh 5 · Amolpreet 6 · Ravjot 2 · Alaina 0. Backfill days 1-11 for an exact record.</t>
  </si>
  <si>
    <t>FEES — AUGUST 2026  (per class attended)</t>
  </si>
  <si>
    <t>Amount Due = classes held x per-class rate (absences still billed). Type Amount Paid; Balance &amp; Status calculate.</t>
  </si>
  <si>
    <t>Rate ($/class)</t>
  </si>
  <si>
    <t>Classes Held (billed)</t>
  </si>
  <si>
    <t>Classes Scheduled</t>
  </si>
  <si>
    <t>Amount Due ($)</t>
  </si>
  <si>
    <t>Amount Paid ($)</t>
  </si>
  <si>
    <t>Balance ($)</t>
  </si>
  <si>
    <t>Payment Date</t>
  </si>
  <si>
    <t>Method</t>
  </si>
  <si>
    <t>Paid</t>
  </si>
  <si>
    <t>Cash</t>
  </si>
  <si>
    <t>TOTAL</t>
  </si>
  <si>
    <t/>
  </si>
  <si>
    <t>.</t>
  </si>
  <si>
    <t>Topics taught</t>
  </si>
  <si>
    <t>Improvement Areas</t>
  </si>
  <si>
    <t>Achievements</t>
  </si>
  <si>
    <t>LCM GCF, Ecosystem, world map, Exponents, Nouns, Psuedo coding</t>
  </si>
  <si>
    <t>Good learner</t>
  </si>
  <si>
    <t>Letters A-E, number 1-10, counting number 1-10, simple addition technique on fingers</t>
  </si>
  <si>
    <t>word hard on learning letters and phonics</t>
  </si>
  <si>
    <t>Going slow in english but picking maths well</t>
  </si>
  <si>
    <t>Maths operations add, add with regrouping, subtract, 3 letter words, 4 letter s blends</t>
  </si>
  <si>
    <t>Lot of reading practice needed</t>
  </si>
  <si>
    <t>Good progress in class</t>
  </si>
  <si>
    <t>LCM GCF, Ecosystem, world map,Psuedo coding</t>
  </si>
  <si>
    <t>Need a lot of pratice in maths tables multiplication and division</t>
  </si>
  <si>
    <t>More focus on words and spelling</t>
  </si>
  <si>
    <t>Picking maths operation at her own pace</t>
  </si>
  <si>
    <t>Letters A-z capital, small a-d. counting 1-10, simple addition technique on fingers</t>
  </si>
  <si>
    <t>Need to learn phonics</t>
  </si>
  <si>
    <t>Good at maths</t>
  </si>
  <si>
    <t>ATTENDANCE — SEPTEMBER 2026</t>
  </si>
  <si>
    <t>Food chain, food web, enerygy pyramid, carbon and water cycle, Decimals, exponents, power of tens, Nouns, plate techtonics, landforms,Squares and square roots, verbs, tenses (past)</t>
  </si>
  <si>
    <t>Addition of 2 digit numbers with word problems, subtraction of 2 digit number (no regrouping) with problems, 4 letter words r blends and l blends, nasal blends "mp". Animal classifications and characteristics, cursive writing a-o</t>
  </si>
  <si>
    <t>Focus more on reading level 1 books</t>
  </si>
  <si>
    <t>Addition of 2 digit numbers with word problems, subtraction of 2 digit number (no regrouping) with problems, 4 letter words r blends and l blends, reading comprehension, nasal blends "mp".</t>
  </si>
  <si>
    <t>Need writing practice</t>
  </si>
  <si>
    <t>Good progress in class. Try to attend all classes</t>
  </si>
  <si>
    <t>small e-z, letter at and words with it. adding numbers 1-10 with simple addition technique on fingers,2 letter words at, in, on, 3 letter words with "AT" and associated 3 letter words.</t>
  </si>
  <si>
    <t>Addition of 2 digit number, word problems, round ups to tens, subtraction of 2 digit numbers, round ups to 100, reading comprehension, word problems on addition and subtraction, nasal blends "mp".</t>
  </si>
  <si>
    <t>Focus on communication more at home</t>
  </si>
  <si>
    <t>Round up to 10,000. Subtraction of 4 digit numbers, common noun vs proper nouns vs compound nouns, transitive and intransitive verbs, reading comprehension, multiplication 2 digit numbers,money addition subraction, matter, states of matter, properties of matter, units of matter</t>
  </si>
  <si>
    <t>ATTENDANCE — OCTOBER 2026</t>
  </si>
  <si>
    <t>Total classes scheuled</t>
  </si>
  <si>
    <t xml:space="preserve">  </t>
  </si>
  <si>
    <t>FEES — OCTOBER 2026  (per class attended)</t>
  </si>
  <si>
    <t>Classes scheduled</t>
  </si>
  <si>
    <t>Parially paid</t>
  </si>
  <si>
    <t>Patterns, Multiplication and Division</t>
  </si>
  <si>
    <t>BL cl words reading comprehension, "at" "an" "ap" "ad" "am" "ag" words along with short stories</t>
  </si>
  <si>
    <t>AT, IN words</t>
  </si>
  <si>
    <t xml:space="preserve">BL cl words reading comprehension, 2 digit addition </t>
  </si>
  <si>
    <t>Cells, Decimals, 3 digit division worksheet</t>
  </si>
  <si>
    <t>ATTENDANCE — NOVEMBER 2026</t>
  </si>
  <si>
    <t>FEES — NOVEMBER 2026  (per class attended)</t>
  </si>
  <si>
    <t>ATTENDANCE — DECEMBER 2026</t>
  </si>
  <si>
    <t>FEES — SEPTEMBER 2026  (per class attended)</t>
  </si>
  <si>
    <t>Class scheduled</t>
  </si>
  <si>
    <t>Unpaid</t>
  </si>
  <si>
    <t>—</t>
  </si>
  <si>
    <t>FEES — DECEMBER 2026  (per class attended)</t>
  </si>
  <si>
    <t>Date</t>
  </si>
  <si>
    <t>Receipt #</t>
  </si>
  <si>
    <t>Month</t>
  </si>
  <si>
    <t>Amount ($)</t>
  </si>
  <si>
    <t>Recorded By</t>
  </si>
  <si>
    <t>2026-08-05</t>
  </si>
  <si>
    <t>R-1001</t>
  </si>
  <si>
    <t>Aug 2026</t>
  </si>
  <si>
    <t>e-Transfer</t>
  </si>
  <si>
    <t>(Example)</t>
  </si>
  <si>
    <t>← EXAMPLE — delete or overwrite</t>
  </si>
  <si>
    <t>DASHBOARD</t>
  </si>
  <si>
    <t>Live totals — updates as you fill the other sheets.</t>
  </si>
  <si>
    <t>STUDENTS</t>
  </si>
  <si>
    <t>Active students</t>
  </si>
  <si>
    <t>Inactive students</t>
  </si>
  <si>
    <t>FEES — AUGUST 2026</t>
  </si>
  <si>
    <t>Fees billed (due)</t>
  </si>
  <si>
    <t>Fees collected</t>
  </si>
  <si>
    <t>Outstanding balance</t>
  </si>
  <si>
    <t>Collection rate</t>
  </si>
  <si>
    <t>Classes held (max)</t>
  </si>
  <si>
    <t>Average attendance</t>
  </si>
  <si>
    <t>MONTHLY SUMMARY — 2026</t>
  </si>
  <si>
    <t>Billed ($)</t>
  </si>
  <si>
    <t>Collected ($)</t>
  </si>
  <si>
    <t>Outstanding ($)</t>
  </si>
  <si>
    <t>Sep 2026</t>
  </si>
  <si>
    <t>Oct 2026</t>
  </si>
  <si>
    <t>Nov 2026</t>
  </si>
  <si>
    <t>Dec 2026</t>
  </si>
  <si>
    <t>YEAR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</si>
</sst>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yyyy\-mm\-dd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Arial"/>
    </font>
    <font>
      <b/>
      <sz val="14.0"/>
      <color rgb="FF1F3864"/>
      <name val="Arial"/>
    </font>
    <font>
      <sz val="10.0"/>
      <color rgb="FF000000"/>
      <name val="Arial"/>
    </font>
    <font>
      <b/>
      <sz val="16.0"/>
      <color rgb="FF1F3864"/>
      <name val="Arial"/>
    </font>
    <font>
      <i/>
      <sz val="11.0"/>
      <color rgb="FF2E5496"/>
      <name val="Arial"/>
    </font>
    <font>
      <b/>
      <sz val="10.0"/>
      <color theme="1"/>
      <name val="Arial"/>
    </font>
    <font>
      <i/>
      <sz val="10.0"/>
      <color rgb="FF548235"/>
      <name val="Arial"/>
    </font>
    <font>
      <sz val="10.0"/>
      <color theme="1"/>
      <name val="Arial"/>
    </font>
    <font>
      <b/>
      <sz val="11.0"/>
      <color rgb="FF1F3864"/>
      <name val="Arial"/>
    </font>
    <font>
      <i/>
      <sz val="9.0"/>
      <color rgb="FF2E5496"/>
      <name val="Arial"/>
    </font>
    <font>
      <i/>
      <sz val="9.0"/>
      <color rgb="FF808080"/>
      <name val="Arial"/>
    </font>
    <font>
      <b/>
      <color theme="1"/>
      <name val="Arial"/>
    </font>
    <font>
      <color theme="1"/>
      <name val="Arial"/>
    </font>
    <font>
      <b/>
      <sz val="9.0"/>
      <color rgb="FFFFFFFF"/>
      <name val="Arial"/>
    </font>
    <font>
      <i/>
      <color rgb="FF548235"/>
      <name val="Arial"/>
    </font>
    <font>
      <sz val="7.0"/>
      <color rgb="FF808080"/>
      <name val="Arial"/>
    </font>
    <font>
      <color theme="1"/>
      <name val="Calibri"/>
      <scheme val="minor"/>
    </font>
    <font>
      <b/>
      <sz val="10.0"/>
      <color rgb="FF000000"/>
      <name val="Arial"/>
    </font>
    <font>
      <i/>
      <sz val="10.0"/>
      <color rgb="FF2E5496"/>
      <name val="Arial"/>
    </font>
    <font>
      <b/>
      <sz val="11.0"/>
      <color rgb="FFFFFFFF"/>
      <name val="Arial"/>
    </font>
    <font>
      <b/>
      <sz val="10.0"/>
      <color rgb="FF1F3864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1" fillId="4" fontId="4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1" fillId="0" fontId="4" numFmtId="0" xfId="0" applyAlignment="1" applyBorder="1" applyFont="1">
      <alignment horizontal="left" shrinkToFit="0" vertical="center" wrapText="0"/>
    </xf>
    <xf borderId="0" fillId="0" fontId="7" numFmtId="0" xfId="0" applyAlignment="1" applyFont="1">
      <alignment shrinkToFit="0" vertical="top" wrapText="1"/>
    </xf>
    <xf borderId="1" fillId="5" fontId="8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shrinkToFit="0" vertical="top" wrapText="1"/>
    </xf>
    <xf borderId="1" fillId="5" fontId="8" numFmtId="0" xfId="0" applyAlignment="1" applyBorder="1" applyFill="1" applyFont="1">
      <alignment horizontal="left" shrinkToFit="0" vertical="center" wrapText="0"/>
    </xf>
    <xf borderId="2" fillId="6" fontId="10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horizontal="left" readingOrder="0" shrinkToFit="0" vertical="center" wrapText="0"/>
    </xf>
    <xf borderId="2" fillId="6" fontId="1" numFmtId="0" xfId="0" applyAlignment="1" applyBorder="1" applyFill="1" applyFont="1">
      <alignment shrinkToFit="0" vertical="top" wrapText="1"/>
    </xf>
    <xf borderId="0" fillId="0" fontId="11" numFmtId="0" xfId="0" applyAlignment="1" applyFont="1">
      <alignment vertical="bottom"/>
    </xf>
    <xf borderId="1" fillId="4" fontId="4" numFmtId="164" xfId="0" applyAlignment="1" applyBorder="1" applyFill="1" applyFont="1" applyNumberFormat="1">
      <alignment horizontal="center" readingOrder="0" shrinkToFit="0" vertical="center" wrapText="0"/>
    </xf>
    <xf borderId="0" fillId="0" fontId="12" numFmtId="0" xfId="0" applyAlignment="1" applyFont="1">
      <alignment shrinkToFit="0" vertical="bottom" wrapText="0"/>
    </xf>
    <xf borderId="1" fillId="0" fontId="13" numFmtId="0" xfId="0" applyAlignment="1" applyBorder="1" applyFont="1">
      <alignment horizontal="right" vertical="bottom"/>
    </xf>
    <xf borderId="1" fillId="4" fontId="14" numFmtId="165" xfId="0" applyAlignment="1" applyBorder="1" applyFill="1" applyFont="1" applyNumberFormat="1">
      <alignment horizontal="center"/>
    </xf>
    <xf borderId="1" fillId="5" fontId="8" numFmtId="165" xfId="0" applyAlignment="1" applyBorder="1" applyFill="1" applyFont="1" applyNumberFormat="1">
      <alignment horizontal="center" shrinkToFit="0" vertical="center" wrapText="0"/>
    </xf>
    <xf borderId="0" fillId="0" fontId="12" numFmtId="0" xfId="0" applyAlignment="1" applyFont="1">
      <alignment vertical="bottom"/>
    </xf>
    <xf borderId="1" fillId="4" fontId="14" numFmtId="0" xfId="0" applyAlignment="1" applyBorder="1" applyFill="1" applyFont="1">
      <alignment horizontal="center"/>
    </xf>
    <xf borderId="1" fillId="2" fontId="15" numFmtId="0" xfId="0" applyAlignment="1" applyBorder="1" applyFill="1" applyFont="1">
      <alignment horizontal="center" shrinkToFit="0" wrapText="1"/>
    </xf>
    <xf borderId="1" fillId="5" fontId="16" numFmtId="0" xfId="0" applyBorder="1" applyFill="1" applyFont="1"/>
    <xf borderId="1" fillId="5" fontId="16" numFmtId="0" xfId="0" applyAlignment="1" applyBorder="1" applyFill="1" applyFont="1">
      <alignment horizontal="center" readingOrder="0"/>
    </xf>
    <xf borderId="1" fillId="5" fontId="16" numFmtId="49" xfId="0" applyAlignment="1" applyBorder="1" applyFill="1" applyFont="1" applyNumberFormat="1">
      <alignment horizontal="center" readingOrder="0"/>
    </xf>
    <xf borderId="1" fillId="5" fontId="16" numFmtId="0" xfId="0" applyAlignment="1" applyBorder="1" applyFill="1" applyFont="1">
      <alignment readingOrder="0"/>
    </xf>
    <xf borderId="1" fillId="5" fontId="16" numFmtId="0" xfId="0" applyAlignment="1" applyBorder="1" applyFill="1" applyFont="1">
      <alignment horizontal="center"/>
    </xf>
    <xf borderId="1" fillId="5" fontId="16" numFmtId="49" xfId="0" applyAlignment="1" applyBorder="1" applyFill="1" applyFont="1" applyNumberFormat="1">
      <alignment horizontal="center"/>
    </xf>
    <xf borderId="1" fillId="7" fontId="8" numFmtId="164" xfId="0" applyAlignment="1" applyBorder="1" applyFill="1" applyFont="1" applyNumberFormat="1">
      <alignment horizontal="center" shrinkToFit="0" vertical="center" wrapText="0"/>
    </xf>
    <xf borderId="1" fillId="4" fontId="1" numFmtId="0" xfId="0" applyBorder="1" applyFill="1" applyFont="1"/>
    <xf borderId="1" fillId="4" fontId="1" numFmtId="49" xfId="0" applyBorder="1" applyFill="1" applyFont="1" applyNumberFormat="1"/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1" fillId="4" fontId="4" numFmtId="165" xfId="0" applyAlignment="1" applyBorder="1" applyFill="1" applyFont="1" applyNumberFormat="1">
      <alignment horizontal="center" shrinkToFit="0" vertical="center" wrapText="0"/>
    </xf>
    <xf borderId="1" fillId="4" fontId="4" numFmtId="0" xfId="0" applyAlignment="1" applyBorder="1" applyFill="1" applyFont="1">
      <alignment horizontal="left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  <xf borderId="1" fillId="7" fontId="4" numFmtId="164" xfId="0" applyAlignment="1" applyBorder="1" applyFill="1" applyFont="1" applyNumberFormat="1">
      <alignment horizontal="center" shrinkToFit="0" vertical="center" wrapText="0"/>
    </xf>
    <xf borderId="1" fillId="4" fontId="4" numFmtId="165" xfId="0" applyAlignment="1" applyBorder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1" fillId="2" fontId="15" numFmtId="0" xfId="0" applyAlignment="1" applyBorder="1" applyFill="1" applyFont="1">
      <alignment horizontal="center" shrinkToFit="0" vertical="center" wrapText="1"/>
    </xf>
    <xf borderId="1" fillId="2" fontId="15" numFmtId="0" xfId="0" applyAlignment="1" applyBorder="1" applyFill="1" applyFont="1">
      <alignment horizontal="center" readingOrder="0" shrinkToFit="0" vertical="center" wrapText="1"/>
    </xf>
    <xf borderId="0" fillId="2" fontId="15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7" fontId="4" numFmtId="0" xfId="0" applyAlignment="1" applyBorder="1" applyFill="1" applyFont="1">
      <alignment horizontal="left" shrinkToFit="0" vertical="center" wrapText="0"/>
    </xf>
    <xf borderId="1" fillId="7" fontId="4" numFmtId="0" xfId="0" applyAlignment="1" applyBorder="1" applyFill="1" applyFont="1">
      <alignment horizontal="center" shrinkToFit="0" vertical="center" wrapText="0"/>
    </xf>
    <xf borderId="1" fillId="7" fontId="4" numFmtId="9" xfId="0" applyAlignment="1" applyBorder="1" applyFill="1" applyFont="1" applyNumberFormat="1">
      <alignment horizontal="center" shrinkToFit="0" vertical="center" wrapText="0"/>
    </xf>
    <xf borderId="0" fillId="7" fontId="4" numFmtId="0" xfId="0" applyAlignment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left" shrinkToFit="0" vertical="center" wrapText="0"/>
    </xf>
    <xf borderId="0" fillId="0" fontId="18" numFmtId="0" xfId="0" applyFont="1"/>
    <xf borderId="1" fillId="6" fontId="7" numFmtId="0" xfId="0" applyAlignment="1" applyBorder="1" applyFill="1" applyFont="1">
      <alignment horizontal="center" shrinkToFit="0" vertical="bottom" wrapText="0"/>
    </xf>
    <xf borderId="1" fillId="6" fontId="7" numFmtId="0" xfId="0" applyAlignment="1" applyBorder="1" applyFill="1" applyFont="1">
      <alignment horizontal="right" shrinkToFit="0" vertical="bottom" wrapText="0"/>
    </xf>
    <xf borderId="1" fillId="8" fontId="4" numFmtId="0" xfId="0" applyAlignment="1" applyBorder="1" applyFill="1" applyFont="1">
      <alignment horizontal="center" shrinkToFit="0" vertical="center" wrapText="0"/>
    </xf>
    <xf borderId="1" fillId="6" fontId="7" numFmtId="164" xfId="0" applyAlignment="1" applyBorder="1" applyFill="1" applyFont="1" applyNumberForma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8" numFmtId="0" xfId="0" applyAlignment="1" applyFont="1">
      <alignment readingOrder="0"/>
    </xf>
    <xf borderId="1" fillId="2" fontId="15" numFmtId="0" xfId="0" applyAlignment="1" applyBorder="1" applyFill="1" applyFont="1">
      <alignment horizontal="center" shrinkToFit="0" vertical="center" wrapText="1"/>
    </xf>
    <xf borderId="1" fillId="4" fontId="19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7" fontId="4" numFmtId="3" xfId="0" applyAlignment="1" applyBorder="1" applyFill="1" applyFont="1" applyNumberFormat="1">
      <alignment horizontal="center" shrinkToFit="0" vertical="center" wrapText="0"/>
    </xf>
    <xf borderId="1" fillId="7" fontId="4" numFmtId="0" xfId="0" applyAlignment="1" applyBorder="1" applyFill="1" applyFont="1">
      <alignment horizontal="center" readingOrder="0" shrinkToFit="0" vertical="center" wrapText="0"/>
    </xf>
    <xf borderId="1" fillId="7" fontId="4" numFmtId="164" xfId="0" applyAlignment="1" applyBorder="1" applyFill="1" applyFont="1" applyNumberFormat="1">
      <alignment horizontal="center" readingOrder="0" shrinkToFit="0" vertical="center" wrapText="0"/>
    </xf>
    <xf borderId="1" fillId="5" fontId="8" numFmtId="164" xfId="0" applyAlignment="1" applyBorder="1" applyFill="1" applyFont="1" applyNumberForma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1" fillId="2" fontId="21" numFmtId="0" xfId="0" applyAlignment="1" applyBorder="1" applyFill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7" fontId="9" numFmtId="0" xfId="0" applyAlignment="1" applyBorder="1" applyFill="1" applyFont="1">
      <alignment horizontal="left" shrinkToFit="0" vertical="center" wrapText="0"/>
    </xf>
    <xf borderId="1" fillId="3" fontId="10" numFmtId="1" xfId="0" applyAlignment="1" applyBorder="1" applyFill="1" applyFont="1" applyNumberFormat="1">
      <alignment horizontal="center" shrinkToFit="0" vertical="center" wrapText="0"/>
    </xf>
    <xf borderId="1" fillId="3" fontId="10" numFmtId="164" xfId="0" applyAlignment="1" applyBorder="1" applyFill="1" applyFont="1" applyNumberFormat="1">
      <alignment horizontal="center" shrinkToFit="0" vertical="center" wrapText="0"/>
    </xf>
    <xf borderId="1" fillId="3" fontId="10" numFmtId="9" xfId="0" applyAlignment="1" applyBorder="1" applyFill="1" applyFont="1" applyNumberFormat="1">
      <alignment horizontal="center" shrinkToFit="0" vertical="center" wrapText="0"/>
    </xf>
    <xf borderId="1" fillId="3" fontId="22" numFmtId="164" xfId="0" applyAlignment="1" applyBorder="1" applyFill="1" applyFont="1" applyNumberFormat="1">
      <alignment horizontal="center" shrinkToFit="0" vertical="center" wrapText="0"/>
    </xf>
    <xf borderId="1" fillId="6" fontId="7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13</xdr:row>
      <xdr:rowOff>171450</xdr:rowOff>
    </xdr:from>
    <xdr:ext cx="4448175" cy="2743200"/>
    <xdr:pic>
      <xdr:nvPicPr>
        <xdr:cNvPr id="89341556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16</xdr:row>
      <xdr:rowOff>180975</xdr:rowOff>
    </xdr:from>
    <xdr:ext cx="4610100" cy="2857500"/>
    <xdr:pic>
      <xdr:nvPicPr>
        <xdr:cNvPr id="68529675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92.0"/>
    <col customWidth="1" min="4" max="26" width="8.71"/>
  </cols>
  <sheetData>
    <row r="1">
      <c r="A1" s="1"/>
      <c r="B1" s="1"/>
      <c r="C1" s="1"/>
    </row>
    <row r="2" ht="19.5" customHeight="1">
      <c r="A2" s="1"/>
      <c r="B2" s="5" t="s">
        <v>3</v>
      </c>
      <c r="C2" s="1"/>
    </row>
    <row r="3" ht="15.0" customHeight="1">
      <c r="A3" s="1"/>
      <c r="B3" s="8" t="s">
        <v>18</v>
      </c>
      <c r="C3" s="1"/>
    </row>
    <row r="4">
      <c r="A4" s="1"/>
      <c r="B4" s="1"/>
      <c r="C4" s="1"/>
    </row>
    <row r="5" ht="15.0" customHeight="1">
      <c r="A5" s="1"/>
      <c r="B5" s="10"/>
      <c r="C5" s="12"/>
    </row>
    <row r="6" ht="15.0" customHeight="1">
      <c r="A6" s="1"/>
      <c r="B6" s="14" t="s">
        <v>32</v>
      </c>
      <c r="C6" s="16"/>
    </row>
    <row r="7" ht="15.0" customHeight="1">
      <c r="A7" s="1"/>
      <c r="B7" s="10" t="s">
        <v>37</v>
      </c>
      <c r="C7" s="12" t="s">
        <v>38</v>
      </c>
    </row>
    <row r="8" ht="15.0" customHeight="1">
      <c r="A8" s="1"/>
      <c r="B8" s="10" t="s">
        <v>39</v>
      </c>
      <c r="C8" s="12" t="s">
        <v>40</v>
      </c>
    </row>
    <row r="9" ht="15.0" customHeight="1">
      <c r="A9" s="1"/>
      <c r="B9" s="10"/>
      <c r="C9" s="12"/>
    </row>
    <row r="10" ht="15.0" customHeight="1">
      <c r="A10" s="1"/>
      <c r="B10" s="14" t="s">
        <v>41</v>
      </c>
      <c r="C10" s="16"/>
    </row>
    <row r="11" ht="23.25" customHeight="1">
      <c r="A11" s="1"/>
      <c r="B11" s="10" t="s">
        <v>42</v>
      </c>
      <c r="C11" s="12" t="s">
        <v>43</v>
      </c>
    </row>
    <row r="12" ht="23.25" customHeight="1">
      <c r="A12" s="1"/>
      <c r="B12" s="10" t="s">
        <v>45</v>
      </c>
      <c r="C12" s="12" t="s">
        <v>47</v>
      </c>
    </row>
    <row r="13" ht="15.0" customHeight="1">
      <c r="A13" s="1"/>
      <c r="B13" s="10"/>
      <c r="C13" s="12"/>
    </row>
    <row r="14" ht="15.0" customHeight="1">
      <c r="A14" s="1"/>
      <c r="B14" s="14" t="s">
        <v>49</v>
      </c>
      <c r="C14" s="16"/>
    </row>
    <row r="15" ht="23.25" customHeight="1">
      <c r="A15" s="1"/>
      <c r="B15" s="10" t="s">
        <v>50</v>
      </c>
      <c r="C15" s="12" t="s">
        <v>51</v>
      </c>
    </row>
    <row r="16" ht="15.0" customHeight="1">
      <c r="A16" s="1"/>
      <c r="B16" s="10" t="s">
        <v>52</v>
      </c>
      <c r="C16" s="12" t="s">
        <v>53</v>
      </c>
    </row>
    <row r="17" ht="15.0" customHeight="1">
      <c r="A17" s="1"/>
      <c r="B17" s="10" t="s">
        <v>54</v>
      </c>
      <c r="C17" s="12" t="s">
        <v>55</v>
      </c>
    </row>
    <row r="18" ht="23.25" customHeight="1">
      <c r="A18" s="1"/>
      <c r="B18" s="10" t="s">
        <v>56</v>
      </c>
      <c r="C18" s="12" t="s">
        <v>57</v>
      </c>
    </row>
    <row r="19" ht="15.0" customHeight="1">
      <c r="A19" s="1"/>
      <c r="B19" s="10" t="s">
        <v>58</v>
      </c>
      <c r="C19" s="12" t="s">
        <v>59</v>
      </c>
    </row>
    <row r="20" ht="15.0" customHeight="1">
      <c r="A20" s="1"/>
      <c r="B20" s="10" t="s">
        <v>60</v>
      </c>
      <c r="C20" s="12" t="s">
        <v>61</v>
      </c>
    </row>
    <row r="21" ht="15.0" customHeight="1">
      <c r="A21" s="1"/>
      <c r="B21" s="10"/>
      <c r="C21" s="12"/>
    </row>
    <row r="22" ht="15.0" customHeight="1">
      <c r="A22" s="1"/>
      <c r="B22" s="14" t="s">
        <v>63</v>
      </c>
      <c r="C22" s="16"/>
    </row>
    <row r="23" ht="23.25" customHeight="1">
      <c r="A23" s="1"/>
      <c r="B23" s="10" t="s">
        <v>64</v>
      </c>
      <c r="C23" s="12" t="s">
        <v>65</v>
      </c>
    </row>
    <row r="24" ht="15.0" customHeight="1">
      <c r="A24" s="1"/>
      <c r="B24" s="10"/>
      <c r="C24" s="12"/>
    </row>
    <row r="25" ht="15.0" customHeight="1">
      <c r="A25" s="1"/>
      <c r="B25" s="14" t="s">
        <v>66</v>
      </c>
      <c r="C25" s="16"/>
    </row>
    <row r="26" ht="23.25" customHeight="1">
      <c r="A26" s="1"/>
      <c r="B26" s="10" t="s">
        <v>67</v>
      </c>
      <c r="C26" s="12" t="s">
        <v>69</v>
      </c>
    </row>
    <row r="27" ht="15.0" customHeight="1">
      <c r="A27" s="1"/>
      <c r="B27" s="10"/>
      <c r="C27" s="12"/>
    </row>
    <row r="28" ht="15.0" customHeight="1">
      <c r="A28" s="1"/>
      <c r="B28" s="14" t="s">
        <v>70</v>
      </c>
      <c r="C28" s="16"/>
    </row>
    <row r="29" ht="34.5" customHeight="1">
      <c r="A29" s="1"/>
      <c r="B29" s="10" t="s">
        <v>71</v>
      </c>
      <c r="C29" s="12" t="s">
        <v>72</v>
      </c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44.0"/>
    <col customWidth="1" min="4" max="26" width="8.71"/>
  </cols>
  <sheetData>
    <row r="1" ht="25.5" customHeight="1">
      <c r="A1" s="2" t="s">
        <v>0</v>
      </c>
      <c r="B1" s="2" t="s">
        <v>4</v>
      </c>
      <c r="C1" s="2" t="s">
        <v>5</v>
      </c>
    </row>
    <row r="2" ht="15.0" customHeight="1">
      <c r="A2" s="4" t="s">
        <v>8</v>
      </c>
      <c r="B2" s="6">
        <v>10.0</v>
      </c>
      <c r="C2" s="9" t="s">
        <v>22</v>
      </c>
    </row>
    <row r="3" ht="15.0" customHeight="1">
      <c r="A3" s="4" t="s">
        <v>23</v>
      </c>
      <c r="B3" s="6">
        <v>10.0</v>
      </c>
      <c r="C3" s="9" t="s">
        <v>25</v>
      </c>
    </row>
    <row r="4" ht="15.0" customHeight="1">
      <c r="A4" s="4" t="s">
        <v>26</v>
      </c>
      <c r="B4" s="6">
        <v>15.0</v>
      </c>
      <c r="C4" s="9"/>
    </row>
    <row r="5" ht="15.0" customHeight="1">
      <c r="A5" s="4" t="s">
        <v>27</v>
      </c>
      <c r="B5" s="6">
        <v>15.0</v>
      </c>
      <c r="C5" s="9"/>
    </row>
    <row r="6" ht="15.0" customHeight="1">
      <c r="A6" s="4" t="s">
        <v>28</v>
      </c>
      <c r="B6" s="6">
        <v>15.0</v>
      </c>
      <c r="C6" s="9"/>
    </row>
    <row r="7" ht="15.0" customHeight="1">
      <c r="A7" s="4" t="s">
        <v>29</v>
      </c>
      <c r="B7" s="6">
        <v>15.0</v>
      </c>
      <c r="C7" s="9"/>
    </row>
    <row r="8" ht="15.0" customHeight="1">
      <c r="A8" s="4" t="s">
        <v>30</v>
      </c>
      <c r="B8" s="6">
        <v>20.0</v>
      </c>
      <c r="C8" s="9"/>
    </row>
    <row r="9" ht="15.0" customHeight="1">
      <c r="A9" s="4" t="s">
        <v>34</v>
      </c>
      <c r="B9" s="6">
        <v>20.0</v>
      </c>
      <c r="C9" s="9"/>
    </row>
    <row r="10" ht="15.0" customHeight="1">
      <c r="A10" s="15" t="s">
        <v>36</v>
      </c>
      <c r="B10" s="18">
        <v>25.0</v>
      </c>
      <c r="C10" s="9"/>
    </row>
    <row r="11" ht="15.0" customHeight="1">
      <c r="A11" s="4" t="s">
        <v>44</v>
      </c>
      <c r="B11" s="6">
        <v>20.0</v>
      </c>
      <c r="C11" s="9"/>
    </row>
    <row r="12" ht="15.0" customHeight="1">
      <c r="A12" s="4" t="s">
        <v>46</v>
      </c>
      <c r="B12" s="6">
        <v>20.0</v>
      </c>
      <c r="C12" s="9"/>
    </row>
    <row r="13" ht="15.0" customHeight="1">
      <c r="A13" s="19" t="s">
        <v>48</v>
      </c>
      <c r="B13" s="1"/>
      <c r="C13" s="1"/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  <row r="1001" ht="15.75" customHeight="1">
      <c r="A1001" s="1"/>
      <c r="B1001" s="1"/>
      <c r="C1001" s="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62</v>
      </c>
      <c r="B4" s="21" t="s">
        <v>68</v>
      </c>
      <c r="C4" s="23" t="s">
        <v>73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0" t="s">
        <v>74</v>
      </c>
      <c r="B5" s="21" t="s">
        <v>75</v>
      </c>
      <c r="C5" s="23" t="s">
        <v>76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0" t="s">
        <v>77</v>
      </c>
      <c r="B6" s="24" t="s">
        <v>78</v>
      </c>
      <c r="C6" s="23" t="s">
        <v>79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5" t="s">
        <v>89</v>
      </c>
      <c r="B8" s="25" t="s">
        <v>91</v>
      </c>
      <c r="C8" s="25" t="s">
        <v>92</v>
      </c>
      <c r="D8" s="25" t="s">
        <v>93</v>
      </c>
      <c r="E8" s="25" t="s">
        <v>94</v>
      </c>
      <c r="F8" s="25" t="s">
        <v>95</v>
      </c>
      <c r="G8" s="25" t="s">
        <v>96</v>
      </c>
      <c r="H8" s="25" t="s">
        <v>97</v>
      </c>
      <c r="I8" s="25" t="s">
        <v>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6" t="s">
        <v>98</v>
      </c>
      <c r="B9" s="27" t="s">
        <v>99</v>
      </c>
      <c r="C9" s="28" t="s">
        <v>100</v>
      </c>
      <c r="D9" s="28" t="s">
        <v>101</v>
      </c>
      <c r="E9" s="26" t="s">
        <v>102</v>
      </c>
      <c r="F9" s="26" t="s">
        <v>103</v>
      </c>
      <c r="G9" s="26" t="s">
        <v>104</v>
      </c>
      <c r="H9" s="29" t="s">
        <v>105</v>
      </c>
      <c r="I9" s="26" t="s">
        <v>106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6" t="s">
        <v>98</v>
      </c>
      <c r="B10" s="30" t="s">
        <v>107</v>
      </c>
      <c r="C10" s="31" t="s">
        <v>108</v>
      </c>
      <c r="D10" s="31" t="s">
        <v>109</v>
      </c>
      <c r="E10" s="26" t="s">
        <v>102</v>
      </c>
      <c r="F10" s="26" t="s">
        <v>103</v>
      </c>
      <c r="G10" s="26" t="s">
        <v>104</v>
      </c>
      <c r="H10" s="26" t="s">
        <v>110</v>
      </c>
      <c r="I10" s="26" t="s">
        <v>106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6" t="s">
        <v>111</v>
      </c>
      <c r="B11" s="30" t="s">
        <v>112</v>
      </c>
      <c r="C11" s="31" t="s">
        <v>113</v>
      </c>
      <c r="D11" s="31" t="s">
        <v>114</v>
      </c>
      <c r="E11" s="26" t="s">
        <v>115</v>
      </c>
      <c r="F11" s="26" t="s">
        <v>103</v>
      </c>
      <c r="G11" s="26" t="s">
        <v>104</v>
      </c>
      <c r="H11" s="26" t="s">
        <v>116</v>
      </c>
      <c r="I11" s="26" t="s">
        <v>106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3"/>
      <c r="B12" s="33"/>
      <c r="C12" s="34"/>
      <c r="D12" s="34"/>
      <c r="E12" s="33"/>
      <c r="F12" s="33"/>
      <c r="G12" s="33"/>
      <c r="H12" s="33"/>
      <c r="I12" s="3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3"/>
      <c r="B13" s="33"/>
      <c r="C13" s="34"/>
      <c r="D13" s="34"/>
      <c r="E13" s="33"/>
      <c r="F13" s="33"/>
      <c r="G13" s="33"/>
      <c r="H13" s="33"/>
      <c r="I13" s="3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3"/>
      <c r="B14" s="33"/>
      <c r="C14" s="34"/>
      <c r="D14" s="34"/>
      <c r="E14" s="33"/>
      <c r="F14" s="33"/>
      <c r="G14" s="33"/>
      <c r="H14" s="33"/>
      <c r="I14" s="3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3"/>
      <c r="B15" s="33"/>
      <c r="C15" s="34"/>
      <c r="D15" s="34"/>
      <c r="E15" s="33"/>
      <c r="F15" s="33"/>
      <c r="G15" s="33"/>
      <c r="H15" s="33"/>
      <c r="I15" s="3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3"/>
      <c r="B16" s="33"/>
      <c r="C16" s="34"/>
      <c r="D16" s="34"/>
      <c r="E16" s="33"/>
      <c r="F16" s="33"/>
      <c r="G16" s="33"/>
      <c r="H16" s="33"/>
      <c r="I16" s="3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3"/>
      <c r="B17" s="33"/>
      <c r="C17" s="34"/>
      <c r="D17" s="34"/>
      <c r="E17" s="33"/>
      <c r="F17" s="33"/>
      <c r="G17" s="33"/>
      <c r="H17" s="33"/>
      <c r="I17" s="3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3"/>
      <c r="B18" s="33"/>
      <c r="C18" s="34"/>
      <c r="D18" s="34"/>
      <c r="E18" s="33"/>
      <c r="F18" s="33"/>
      <c r="G18" s="33"/>
      <c r="H18" s="33"/>
      <c r="I18" s="3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3"/>
      <c r="B19" s="33"/>
      <c r="C19" s="34"/>
      <c r="D19" s="34"/>
      <c r="E19" s="33"/>
      <c r="F19" s="33"/>
      <c r="G19" s="33"/>
      <c r="H19" s="33"/>
      <c r="I19" s="3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3"/>
      <c r="B20" s="33"/>
      <c r="C20" s="34"/>
      <c r="D20" s="34"/>
      <c r="E20" s="33"/>
      <c r="F20" s="33"/>
      <c r="G20" s="33"/>
      <c r="H20" s="33"/>
      <c r="I20" s="3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3"/>
      <c r="B21" s="33"/>
      <c r="C21" s="34"/>
      <c r="D21" s="34"/>
      <c r="E21" s="33"/>
      <c r="F21" s="33"/>
      <c r="G21" s="33"/>
      <c r="H21" s="33"/>
      <c r="I21" s="3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3"/>
      <c r="B22" s="33"/>
      <c r="C22" s="34"/>
      <c r="D22" s="34"/>
      <c r="E22" s="33"/>
      <c r="F22" s="33"/>
      <c r="G22" s="33"/>
      <c r="H22" s="33"/>
      <c r="I22" s="3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3"/>
      <c r="B23" s="33"/>
      <c r="C23" s="34"/>
      <c r="D23" s="34"/>
      <c r="E23" s="33"/>
      <c r="F23" s="33"/>
      <c r="G23" s="33"/>
      <c r="H23" s="33"/>
      <c r="I23" s="3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3"/>
      <c r="B24" s="33"/>
      <c r="C24" s="34"/>
      <c r="D24" s="34"/>
      <c r="E24" s="33"/>
      <c r="F24" s="33"/>
      <c r="G24" s="33"/>
      <c r="H24" s="33"/>
      <c r="I24" s="3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3"/>
      <c r="B25" s="33"/>
      <c r="C25" s="34"/>
      <c r="D25" s="34"/>
      <c r="E25" s="33"/>
      <c r="F25" s="33"/>
      <c r="G25" s="33"/>
      <c r="H25" s="33"/>
      <c r="I25" s="3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3"/>
      <c r="B26" s="33"/>
      <c r="C26" s="34"/>
      <c r="D26" s="34"/>
      <c r="E26" s="33"/>
      <c r="F26" s="33"/>
      <c r="G26" s="33"/>
      <c r="H26" s="33"/>
      <c r="I26" s="3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23" t="s">
        <v>134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qref="B9:B26">
      <formula1>"Mon,Tue,Wed,Thu,Fri,Sat,Sun"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0"/>
    <col customWidth="1" min="2" max="2" width="21.86"/>
    <col customWidth="1" min="3" max="3" width="13.0"/>
    <col customWidth="1" min="4" max="4" width="13.14"/>
    <col customWidth="1" min="5" max="5" width="25.0"/>
    <col customWidth="1" min="6" max="6" width="17.29"/>
    <col customWidth="1" min="7" max="7" width="38.43"/>
    <col customWidth="1" min="8" max="8" width="22.0"/>
    <col customWidth="1" min="9" max="10" width="15.0"/>
    <col customWidth="1" min="11" max="11" width="28.57"/>
    <col customWidth="1" min="12" max="12" width="24.71"/>
    <col customWidth="1" min="13" max="13" width="19.0"/>
    <col customWidth="1" min="14" max="14" width="15.71"/>
    <col customWidth="1" min="15" max="15" width="17.43"/>
    <col customWidth="1" min="16" max="16" width="11.43"/>
    <col customWidth="1" min="17" max="17" width="35.43"/>
    <col customWidth="1" min="18" max="26" width="8.71"/>
  </cols>
  <sheetData>
    <row r="1" ht="30.0" customHeight="1">
      <c r="A1" s="2" t="s">
        <v>1</v>
      </c>
      <c r="B1" s="2" t="s">
        <v>6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19</v>
      </c>
      <c r="N1" s="2" t="s">
        <v>20</v>
      </c>
      <c r="O1" s="2" t="s">
        <v>4</v>
      </c>
      <c r="P1" s="2" t="s">
        <v>21</v>
      </c>
      <c r="Q1" s="2" t="s">
        <v>5</v>
      </c>
    </row>
    <row r="2" ht="15.0" customHeight="1">
      <c r="A2" s="11" t="s">
        <v>24</v>
      </c>
      <c r="B2" s="13" t="s">
        <v>31</v>
      </c>
      <c r="C2" s="22" t="s">
        <v>33</v>
      </c>
      <c r="D2" s="13" t="s">
        <v>29</v>
      </c>
      <c r="E2" s="13" t="s">
        <v>80</v>
      </c>
      <c r="F2" s="13" t="s">
        <v>81</v>
      </c>
      <c r="G2" s="13" t="s">
        <v>82</v>
      </c>
      <c r="H2" s="13" t="s">
        <v>83</v>
      </c>
      <c r="I2" s="11" t="s">
        <v>84</v>
      </c>
      <c r="J2" s="11" t="s">
        <v>85</v>
      </c>
      <c r="K2" s="13" t="s">
        <v>86</v>
      </c>
      <c r="L2" s="13" t="s">
        <v>87</v>
      </c>
      <c r="M2" s="11" t="s">
        <v>88</v>
      </c>
      <c r="N2" s="22" t="s">
        <v>90</v>
      </c>
      <c r="O2" s="32">
        <f t="array" ref="O2">IFERROR(INDEX('Fee Structure'!$B$2:$B$12,MATCH($D2,'Fee Structure'!$A$2:$A$12,0)),"")</f>
        <v>15</v>
      </c>
      <c r="P2" s="11" t="s">
        <v>117</v>
      </c>
      <c r="Q2" s="13" t="s">
        <v>118</v>
      </c>
    </row>
    <row r="3" ht="15.0" customHeight="1">
      <c r="A3" s="35" t="s">
        <v>119</v>
      </c>
      <c r="B3" s="36" t="s">
        <v>120</v>
      </c>
      <c r="C3" s="37"/>
      <c r="D3" s="38" t="s">
        <v>44</v>
      </c>
      <c r="E3" s="38" t="s">
        <v>121</v>
      </c>
      <c r="F3" s="38" t="s">
        <v>122</v>
      </c>
      <c r="G3" s="38" t="s">
        <v>123</v>
      </c>
      <c r="H3" s="38" t="s">
        <v>124</v>
      </c>
      <c r="I3" s="39" t="s">
        <v>125</v>
      </c>
      <c r="J3" s="39" t="s">
        <v>126</v>
      </c>
      <c r="K3" s="36"/>
      <c r="L3" s="36"/>
      <c r="M3" s="35"/>
      <c r="N3" s="37"/>
      <c r="O3" s="40">
        <f t="array" ref="O3">IFERROR(INDEX('Fee Structure'!$B$2:$B$12,MATCH($D3,'Fee Structure'!$A$2:$A$12,0)),"")</f>
        <v>20</v>
      </c>
      <c r="P3" s="35" t="s">
        <v>127</v>
      </c>
      <c r="Q3" s="36"/>
    </row>
    <row r="4" ht="15.0" customHeight="1">
      <c r="A4" s="35" t="s">
        <v>128</v>
      </c>
      <c r="B4" s="38" t="s">
        <v>129</v>
      </c>
      <c r="C4" s="37"/>
      <c r="D4" s="38" t="s">
        <v>27</v>
      </c>
      <c r="E4" s="38" t="s">
        <v>121</v>
      </c>
      <c r="F4" s="38" t="s">
        <v>122</v>
      </c>
      <c r="G4" s="38" t="s">
        <v>130</v>
      </c>
      <c r="H4" s="38" t="s">
        <v>131</v>
      </c>
      <c r="I4" s="39" t="s">
        <v>132</v>
      </c>
      <c r="J4" s="39" t="s">
        <v>133</v>
      </c>
      <c r="K4" s="36"/>
      <c r="L4" s="36"/>
      <c r="M4" s="35"/>
      <c r="N4" s="37"/>
      <c r="O4" s="40">
        <f t="array" ref="O4">IFERROR(INDEX('Fee Structure'!$B$2:$B$12,MATCH($D4,'Fee Structure'!$A$2:$A$12,0)),"")</f>
        <v>15</v>
      </c>
      <c r="P4" s="35" t="s">
        <v>127</v>
      </c>
      <c r="Q4" s="36"/>
    </row>
    <row r="5" ht="15.0" customHeight="1">
      <c r="A5" s="35" t="s">
        <v>135</v>
      </c>
      <c r="B5" s="36" t="s">
        <v>136</v>
      </c>
      <c r="C5" s="41">
        <v>41920.0</v>
      </c>
      <c r="D5" s="38" t="s">
        <v>44</v>
      </c>
      <c r="E5" s="38" t="s">
        <v>121</v>
      </c>
      <c r="F5" s="38" t="s">
        <v>122</v>
      </c>
      <c r="G5" s="38" t="s">
        <v>137</v>
      </c>
      <c r="H5" s="38" t="s">
        <v>138</v>
      </c>
      <c r="I5" s="39" t="s">
        <v>139</v>
      </c>
      <c r="J5" s="39" t="s">
        <v>126</v>
      </c>
      <c r="K5" s="36"/>
      <c r="L5" s="36"/>
      <c r="M5" s="35"/>
      <c r="N5" s="37"/>
      <c r="O5" s="40">
        <f t="array" ref="O5">IFERROR(INDEX('Fee Structure'!$B$2:$B$12,MATCH($D5,'Fee Structure'!$A$2:$A$12,0)),"")</f>
        <v>20</v>
      </c>
      <c r="P5" s="39" t="s">
        <v>127</v>
      </c>
      <c r="Q5" s="38" t="s">
        <v>140</v>
      </c>
    </row>
    <row r="6">
      <c r="A6" s="35" t="s">
        <v>141</v>
      </c>
      <c r="B6" s="38" t="s">
        <v>142</v>
      </c>
      <c r="C6" s="37"/>
      <c r="D6" s="38" t="s">
        <v>28</v>
      </c>
      <c r="E6" s="38" t="s">
        <v>121</v>
      </c>
      <c r="F6" s="38" t="s">
        <v>122</v>
      </c>
      <c r="G6" s="36"/>
      <c r="H6" s="38" t="s">
        <v>143</v>
      </c>
      <c r="I6" s="39" t="s">
        <v>144</v>
      </c>
      <c r="J6" s="39" t="s">
        <v>133</v>
      </c>
      <c r="K6" s="36"/>
      <c r="L6" s="36"/>
      <c r="M6" s="35"/>
      <c r="N6" s="37"/>
      <c r="O6" s="40">
        <f t="array" ref="O6">IFERROR(INDEX('Fee Structure'!$B$2:$B$12,MATCH($D6,'Fee Structure'!$A$2:$A$12,0)),"")</f>
        <v>15</v>
      </c>
      <c r="P6" s="39" t="s">
        <v>127</v>
      </c>
      <c r="Q6" s="36"/>
    </row>
    <row r="7">
      <c r="A7" s="35" t="s">
        <v>145</v>
      </c>
      <c r="B7" s="38" t="s">
        <v>146</v>
      </c>
      <c r="C7" s="41">
        <v>44284.0</v>
      </c>
      <c r="D7" s="38" t="s">
        <v>23</v>
      </c>
      <c r="E7" s="38" t="s">
        <v>121</v>
      </c>
      <c r="F7" s="38" t="s">
        <v>122</v>
      </c>
      <c r="G7" s="38" t="s">
        <v>147</v>
      </c>
      <c r="H7" s="38" t="s">
        <v>148</v>
      </c>
      <c r="I7" s="39" t="s">
        <v>149</v>
      </c>
      <c r="J7" s="39" t="s">
        <v>150</v>
      </c>
      <c r="K7" s="36"/>
      <c r="L7" s="36"/>
      <c r="M7" s="35"/>
      <c r="N7" s="37"/>
      <c r="O7" s="40">
        <f t="array" ref="O7">IFERROR(INDEX('Fee Structure'!$B$2:$B$12,MATCH($D7,'Fee Structure'!$A$2:$A$12,0)),"")</f>
        <v>10</v>
      </c>
      <c r="P7" s="39" t="s">
        <v>127</v>
      </c>
      <c r="Q7" s="36"/>
    </row>
    <row r="8">
      <c r="A8" s="35" t="s">
        <v>151</v>
      </c>
      <c r="B8" s="38" t="s">
        <v>152</v>
      </c>
      <c r="C8" s="41">
        <v>44767.0</v>
      </c>
      <c r="D8" s="38" t="s">
        <v>28</v>
      </c>
      <c r="E8" s="38" t="s">
        <v>153</v>
      </c>
      <c r="F8" s="38" t="s">
        <v>122</v>
      </c>
      <c r="G8" s="38" t="s">
        <v>154</v>
      </c>
      <c r="H8" s="38" t="s">
        <v>155</v>
      </c>
      <c r="I8" s="39" t="s">
        <v>156</v>
      </c>
      <c r="J8" s="39" t="s">
        <v>133</v>
      </c>
      <c r="K8" s="36"/>
      <c r="L8" s="36"/>
      <c r="M8" s="35"/>
      <c r="N8" s="37"/>
      <c r="O8" s="40">
        <f t="array" ref="O8">IFERROR(INDEX('Fee Structure'!$B$2:$B$12,MATCH($D8,'Fee Structure'!$A$2:$A$12,0)),"")</f>
        <v>15</v>
      </c>
      <c r="P8" s="39" t="s">
        <v>127</v>
      </c>
      <c r="Q8" s="38" t="s">
        <v>157</v>
      </c>
    </row>
    <row r="9">
      <c r="A9" s="35" t="s">
        <v>158</v>
      </c>
      <c r="B9" s="38" t="s">
        <v>159</v>
      </c>
      <c r="C9" s="41">
        <v>42567.0</v>
      </c>
      <c r="D9" s="38" t="s">
        <v>30</v>
      </c>
      <c r="E9" s="38" t="s">
        <v>153</v>
      </c>
      <c r="F9" s="38" t="s">
        <v>122</v>
      </c>
      <c r="G9" s="38" t="s">
        <v>160</v>
      </c>
      <c r="H9" s="38" t="s">
        <v>161</v>
      </c>
      <c r="I9" s="39" t="s">
        <v>162</v>
      </c>
      <c r="J9" s="39" t="s">
        <v>133</v>
      </c>
      <c r="K9" s="36"/>
      <c r="L9" s="36"/>
      <c r="M9" s="35"/>
      <c r="N9" s="37"/>
      <c r="O9" s="40">
        <f t="array" ref="O9">IFERROR(INDEX('Fee Structure'!$B$2:$B$12,MATCH($D9,'Fee Structure'!$A$2:$A$12,0)),"")</f>
        <v>20</v>
      </c>
      <c r="P9" s="39" t="s">
        <v>127</v>
      </c>
      <c r="Q9" s="36"/>
    </row>
    <row r="10">
      <c r="A10" s="35" t="s">
        <v>163</v>
      </c>
      <c r="B10" s="38" t="s">
        <v>164</v>
      </c>
      <c r="C10" s="37"/>
      <c r="D10" s="38" t="s">
        <v>36</v>
      </c>
      <c r="E10" s="38" t="s">
        <v>165</v>
      </c>
      <c r="F10" s="38" t="s">
        <v>36</v>
      </c>
      <c r="G10" s="36"/>
      <c r="H10" s="38" t="s">
        <v>166</v>
      </c>
      <c r="I10" s="39"/>
      <c r="J10" s="39" t="s">
        <v>167</v>
      </c>
      <c r="K10" s="36"/>
      <c r="L10" s="36"/>
      <c r="M10" s="35"/>
      <c r="N10" s="37"/>
      <c r="O10" s="40">
        <f t="array" ref="O10">IFERROR(INDEX('Fee Structure'!$B$2:$B$12,MATCH($D10,'Fee Structure'!$A$2:$A$12,0)),"")</f>
        <v>25</v>
      </c>
      <c r="P10" s="39" t="s">
        <v>127</v>
      </c>
      <c r="Q10" s="36"/>
    </row>
    <row r="11">
      <c r="A11" s="35" t="s">
        <v>168</v>
      </c>
      <c r="B11" s="38" t="s">
        <v>169</v>
      </c>
      <c r="C11" s="37"/>
      <c r="D11" s="38" t="s">
        <v>27</v>
      </c>
      <c r="E11" s="38" t="s">
        <v>170</v>
      </c>
      <c r="F11" s="38" t="s">
        <v>122</v>
      </c>
      <c r="G11" s="36"/>
      <c r="H11" s="38" t="s">
        <v>171</v>
      </c>
      <c r="I11" s="39"/>
      <c r="J11" s="39"/>
      <c r="K11" s="36"/>
      <c r="L11" s="36"/>
      <c r="M11" s="35"/>
      <c r="N11" s="37"/>
      <c r="O11" s="40">
        <f t="array" ref="O11">IFERROR(INDEX('Fee Structure'!$B$2:$B$12,MATCH($D11,'Fee Structure'!$A$2:$A$12,0)),"")</f>
        <v>15</v>
      </c>
      <c r="P11" s="39" t="s">
        <v>172</v>
      </c>
      <c r="Q11" s="38"/>
    </row>
    <row r="12">
      <c r="A12" s="35" t="s">
        <v>173</v>
      </c>
      <c r="B12" s="38" t="s">
        <v>174</v>
      </c>
      <c r="C12" s="37"/>
      <c r="D12" s="38" t="s">
        <v>36</v>
      </c>
      <c r="E12" s="38" t="s">
        <v>165</v>
      </c>
      <c r="F12" s="38" t="s">
        <v>36</v>
      </c>
      <c r="G12" s="36"/>
      <c r="H12" s="38" t="s">
        <v>124</v>
      </c>
      <c r="I12" s="39"/>
      <c r="J12" s="39" t="s">
        <v>167</v>
      </c>
      <c r="K12" s="36"/>
      <c r="L12" s="36"/>
      <c r="M12" s="35"/>
      <c r="N12" s="37"/>
      <c r="O12" s="40">
        <f t="array" ref="O12">IFERROR(INDEX('Fee Structure'!$B$2:$B$12,MATCH($D12,'Fee Structure'!$A$2:$A$12,0)),"")</f>
        <v>25</v>
      </c>
      <c r="P12" s="39" t="s">
        <v>175</v>
      </c>
      <c r="Q12" s="38"/>
    </row>
    <row r="13" ht="13.5" customHeight="1">
      <c r="A13" s="35" t="s">
        <v>176</v>
      </c>
      <c r="B13" s="38" t="s">
        <v>177</v>
      </c>
      <c r="C13" s="37"/>
      <c r="D13" s="38" t="s">
        <v>36</v>
      </c>
      <c r="E13" s="38" t="s">
        <v>165</v>
      </c>
      <c r="F13" s="38" t="s">
        <v>36</v>
      </c>
      <c r="G13" s="38"/>
      <c r="H13" s="38" t="s">
        <v>178</v>
      </c>
      <c r="I13" s="39"/>
      <c r="J13" s="39" t="s">
        <v>167</v>
      </c>
      <c r="K13" s="36"/>
      <c r="L13" s="36"/>
      <c r="M13" s="35"/>
      <c r="N13" s="37"/>
      <c r="O13" s="40">
        <f t="array" ref="O13">IFERROR(INDEX('Fee Structure'!$B$2:$B$12,MATCH($D13,'Fee Structure'!$A$2:$A$12,0)),"")</f>
        <v>25</v>
      </c>
      <c r="P13" s="39" t="s">
        <v>175</v>
      </c>
      <c r="Q13" s="38"/>
    </row>
    <row r="14">
      <c r="A14" s="35" t="s">
        <v>179</v>
      </c>
      <c r="B14" s="36" t="s">
        <v>180</v>
      </c>
      <c r="C14" s="37"/>
      <c r="D14" s="38" t="s">
        <v>23</v>
      </c>
      <c r="E14" s="38" t="s">
        <v>121</v>
      </c>
      <c r="F14" s="38" t="s">
        <v>122</v>
      </c>
      <c r="G14" s="38" t="s">
        <v>181</v>
      </c>
      <c r="H14" s="38" t="s">
        <v>182</v>
      </c>
      <c r="I14" s="39" t="s">
        <v>183</v>
      </c>
      <c r="J14" s="39" t="s">
        <v>150</v>
      </c>
      <c r="K14" s="36"/>
      <c r="L14" s="36"/>
      <c r="M14" s="35"/>
      <c r="N14" s="37"/>
      <c r="O14" s="40">
        <f t="array" ref="O14">IFERROR(INDEX('Fee Structure'!$B$2:$B$12,MATCH($D14,'Fee Structure'!$A$2:$A$12,0)),"")</f>
        <v>10</v>
      </c>
      <c r="P14" s="39" t="s">
        <v>175</v>
      </c>
      <c r="Q14" s="38"/>
    </row>
    <row r="15">
      <c r="A15" s="35" t="s">
        <v>184</v>
      </c>
      <c r="B15" s="38" t="s">
        <v>185</v>
      </c>
      <c r="C15" s="37"/>
      <c r="D15" s="38" t="s">
        <v>26</v>
      </c>
      <c r="E15" s="38" t="s">
        <v>121</v>
      </c>
      <c r="F15" s="38" t="s">
        <v>122</v>
      </c>
      <c r="G15" s="36"/>
      <c r="H15" s="38" t="s">
        <v>186</v>
      </c>
      <c r="I15" s="39" t="s">
        <v>187</v>
      </c>
      <c r="J15" s="39"/>
      <c r="K15" s="36"/>
      <c r="L15" s="36"/>
      <c r="M15" s="35"/>
      <c r="N15" s="37"/>
      <c r="O15" s="40">
        <f t="array" ref="O15">IFERROR(INDEX('Fee Structure'!$B$2:$B$12,MATCH($D15,'Fee Structure'!$A$2:$A$12,0)),"")</f>
        <v>15</v>
      </c>
      <c r="P15" s="39" t="s">
        <v>175</v>
      </c>
      <c r="Q15" s="38" t="s">
        <v>188</v>
      </c>
    </row>
    <row r="16">
      <c r="A16" s="35" t="s">
        <v>189</v>
      </c>
      <c r="B16" s="38" t="s">
        <v>190</v>
      </c>
      <c r="C16" s="37"/>
      <c r="D16" s="38" t="s">
        <v>8</v>
      </c>
      <c r="E16" s="38" t="s">
        <v>121</v>
      </c>
      <c r="F16" s="38" t="s">
        <v>122</v>
      </c>
      <c r="G16" s="36"/>
      <c r="H16" s="38" t="s">
        <v>191</v>
      </c>
      <c r="I16" s="39" t="s">
        <v>192</v>
      </c>
      <c r="J16" s="35"/>
      <c r="K16" s="36"/>
      <c r="L16" s="36"/>
      <c r="M16" s="35"/>
      <c r="N16" s="37"/>
      <c r="O16" s="40">
        <f t="array" ref="O16">IFERROR(INDEX('Fee Structure'!$B$2:$B$12,MATCH($D16,'Fee Structure'!$A$2:$A$12,0)),"")</f>
        <v>10</v>
      </c>
      <c r="P16" s="39" t="s">
        <v>175</v>
      </c>
      <c r="Q16" s="36"/>
    </row>
    <row r="17">
      <c r="A17" s="35" t="s">
        <v>193</v>
      </c>
      <c r="B17" s="36"/>
      <c r="C17" s="37"/>
      <c r="D17" s="38" t="s">
        <v>23</v>
      </c>
      <c r="E17" s="38"/>
      <c r="F17" s="38"/>
      <c r="G17" s="36"/>
      <c r="H17" s="38" t="s">
        <v>194</v>
      </c>
      <c r="I17" s="39" t="s">
        <v>195</v>
      </c>
      <c r="J17" s="35"/>
      <c r="K17" s="36"/>
      <c r="L17" s="36"/>
      <c r="M17" s="35"/>
      <c r="N17" s="37"/>
      <c r="O17" s="40">
        <f t="array" ref="O17">IFERROR(INDEX('Fee Structure'!$B$2:$B$12,MATCH($D17,'Fee Structure'!$A$2:$A$12,0)),"")</f>
        <v>10</v>
      </c>
      <c r="P17" s="39" t="s">
        <v>175</v>
      </c>
      <c r="Q17" s="36"/>
    </row>
    <row r="18">
      <c r="A18" s="35" t="s">
        <v>196</v>
      </c>
      <c r="B18" s="36"/>
      <c r="C18" s="37"/>
      <c r="D18" s="38" t="s">
        <v>26</v>
      </c>
      <c r="E18" s="38"/>
      <c r="F18" s="38"/>
      <c r="G18" s="36"/>
      <c r="H18" s="38" t="s">
        <v>197</v>
      </c>
      <c r="I18" s="39" t="s">
        <v>198</v>
      </c>
      <c r="J18" s="35"/>
      <c r="K18" s="36"/>
      <c r="L18" s="36"/>
      <c r="M18" s="35"/>
      <c r="N18" s="37"/>
      <c r="O18" s="40">
        <f t="array" ref="O18">IFERROR(INDEX('Fee Structure'!$B$2:$B$12,MATCH($D18,'Fee Structure'!$A$2:$A$12,0)),"")</f>
        <v>15</v>
      </c>
      <c r="P18" s="39" t="s">
        <v>175</v>
      </c>
      <c r="Q18" s="38" t="s">
        <v>199</v>
      </c>
    </row>
    <row r="19">
      <c r="A19" s="35" t="s">
        <v>200</v>
      </c>
      <c r="B19" s="36"/>
      <c r="C19" s="37"/>
      <c r="D19" s="38"/>
      <c r="E19" s="38"/>
      <c r="F19" s="38"/>
      <c r="G19" s="36"/>
      <c r="H19" s="38"/>
      <c r="I19" s="35"/>
      <c r="J19" s="35"/>
      <c r="K19" s="36"/>
      <c r="L19" s="36"/>
      <c r="M19" s="35"/>
      <c r="N19" s="37"/>
      <c r="O19" s="40" t="str">
        <f t="array" ref="O19">IFERROR(INDEX('Fee Structure'!$B$2:$B$12,MATCH($D19,'Fee Structure'!$A$2:$A$12,0)),"")</f>
        <v/>
      </c>
      <c r="P19" s="39" t="s">
        <v>172</v>
      </c>
      <c r="Q19" s="36"/>
    </row>
    <row r="20">
      <c r="A20" s="35" t="s">
        <v>201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0" t="str">
        <f t="array" ref="O20">IFERROR(INDEX('Fee Structure'!$B$2:$B$12,MATCH($D20,'Fee Structure'!$A$2:$A$12,0)),"")</f>
        <v/>
      </c>
      <c r="P20" s="1"/>
      <c r="Q20" s="1"/>
    </row>
    <row r="21">
      <c r="A21" s="35" t="s">
        <v>201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5" t="s">
        <v>200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</row>
  </sheetData>
  <dataValidations>
    <dataValidation type="list" allowBlank="1" sqref="D10:D13">
      <formula1>"JK,SK,Grade 1,Grade 2,Grade 3,Grade 4,Grade 5,Grade 6,Grade 7,Grade 8,Coding"</formula1>
    </dataValidation>
    <dataValidation type="list" allowBlank="1" sqref="P2:P19">
      <formula1>"Active,Inactive,Inquiry,Trial"</formula1>
    </dataValidation>
    <dataValidation type="list" allowBlank="1" sqref="D2:D9 D14:D19">
      <formula1>"JK,SK,Grade 1,Grade 2,Grade 3,Grade 4,Grade 5,Grade 6,Grade 7,Grade 8"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3" width="5.86"/>
    <col customWidth="1" min="34" max="34" width="13.71"/>
    <col customWidth="1" min="35" max="39" width="9.0"/>
  </cols>
  <sheetData>
    <row r="1" ht="17.25" customHeight="1">
      <c r="A1" s="42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5.0" customHeight="1">
      <c r="A2" s="43" t="s">
        <v>203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ht="15.0" customHeight="1">
      <c r="A3" s="1"/>
      <c r="B3" s="1"/>
      <c r="C3" s="44" t="s">
        <v>204</v>
      </c>
      <c r="D3" s="44" t="s">
        <v>204</v>
      </c>
      <c r="E3" s="44" t="s">
        <v>205</v>
      </c>
      <c r="F3" s="44" t="s">
        <v>206</v>
      </c>
      <c r="G3" s="44" t="s">
        <v>207</v>
      </c>
      <c r="H3" s="44" t="s">
        <v>206</v>
      </c>
      <c r="I3" s="44" t="s">
        <v>208</v>
      </c>
      <c r="J3" s="44" t="s">
        <v>204</v>
      </c>
      <c r="K3" s="44" t="s">
        <v>204</v>
      </c>
      <c r="L3" s="44" t="s">
        <v>205</v>
      </c>
      <c r="M3" s="44" t="s">
        <v>206</v>
      </c>
      <c r="N3" s="44" t="s">
        <v>207</v>
      </c>
      <c r="O3" s="44" t="s">
        <v>206</v>
      </c>
      <c r="P3" s="44" t="s">
        <v>208</v>
      </c>
      <c r="Q3" s="44" t="s">
        <v>204</v>
      </c>
      <c r="R3" s="44" t="s">
        <v>204</v>
      </c>
      <c r="S3" s="44" t="s">
        <v>205</v>
      </c>
      <c r="T3" s="44" t="s">
        <v>206</v>
      </c>
      <c r="U3" s="44" t="s">
        <v>207</v>
      </c>
      <c r="V3" s="44" t="s">
        <v>206</v>
      </c>
      <c r="W3" s="44" t="s">
        <v>208</v>
      </c>
      <c r="X3" s="44" t="s">
        <v>204</v>
      </c>
      <c r="Y3" s="44" t="s">
        <v>204</v>
      </c>
      <c r="Z3" s="44" t="s">
        <v>205</v>
      </c>
      <c r="AA3" s="44" t="s">
        <v>206</v>
      </c>
      <c r="AB3" s="44" t="s">
        <v>207</v>
      </c>
      <c r="AC3" s="44" t="s">
        <v>206</v>
      </c>
      <c r="AD3" s="44" t="s">
        <v>208</v>
      </c>
      <c r="AE3" s="44" t="s">
        <v>204</v>
      </c>
      <c r="AF3" s="44" t="s">
        <v>204</v>
      </c>
      <c r="AG3" s="44" t="s">
        <v>205</v>
      </c>
      <c r="AH3" s="1"/>
      <c r="AI3" s="1"/>
      <c r="AJ3" s="1"/>
      <c r="AK3" s="1"/>
      <c r="AL3" s="1"/>
      <c r="AM3" s="1"/>
    </row>
    <row r="4" ht="52.5" customHeight="1">
      <c r="A4" s="45" t="s">
        <v>1</v>
      </c>
      <c r="B4" s="45" t="s">
        <v>209</v>
      </c>
      <c r="C4" s="45">
        <v>1.0</v>
      </c>
      <c r="D4" s="45">
        <v>2.0</v>
      </c>
      <c r="E4" s="45">
        <v>3.0</v>
      </c>
      <c r="F4" s="45">
        <v>4.0</v>
      </c>
      <c r="G4" s="45">
        <v>5.0</v>
      </c>
      <c r="H4" s="45">
        <v>6.0</v>
      </c>
      <c r="I4" s="45">
        <v>7.0</v>
      </c>
      <c r="J4" s="45">
        <v>8.0</v>
      </c>
      <c r="K4" s="45">
        <v>9.0</v>
      </c>
      <c r="L4" s="45">
        <v>10.0</v>
      </c>
      <c r="M4" s="45">
        <v>11.0</v>
      </c>
      <c r="N4" s="45">
        <v>12.0</v>
      </c>
      <c r="O4" s="45">
        <v>13.0</v>
      </c>
      <c r="P4" s="45">
        <v>14.0</v>
      </c>
      <c r="Q4" s="45">
        <v>15.0</v>
      </c>
      <c r="R4" s="45">
        <v>16.0</v>
      </c>
      <c r="S4" s="45">
        <v>17.0</v>
      </c>
      <c r="T4" s="45">
        <v>18.0</v>
      </c>
      <c r="U4" s="45">
        <v>19.0</v>
      </c>
      <c r="V4" s="45">
        <v>20.0</v>
      </c>
      <c r="W4" s="45">
        <v>21.0</v>
      </c>
      <c r="X4" s="45">
        <v>22.0</v>
      </c>
      <c r="Y4" s="45">
        <v>23.0</v>
      </c>
      <c r="Z4" s="45">
        <v>24.0</v>
      </c>
      <c r="AA4" s="45">
        <v>25.0</v>
      </c>
      <c r="AB4" s="45">
        <v>26.0</v>
      </c>
      <c r="AC4" s="45">
        <v>27.0</v>
      </c>
      <c r="AD4" s="45">
        <v>28.0</v>
      </c>
      <c r="AE4" s="45">
        <v>29.0</v>
      </c>
      <c r="AF4" s="45">
        <v>30.0</v>
      </c>
      <c r="AG4" s="45">
        <v>31.0</v>
      </c>
      <c r="AH4" s="46" t="s">
        <v>210</v>
      </c>
      <c r="AI4" s="45" t="s">
        <v>211</v>
      </c>
      <c r="AJ4" s="45" t="s">
        <v>212</v>
      </c>
      <c r="AK4" s="45" t="s">
        <v>213</v>
      </c>
      <c r="AL4" s="45" t="s">
        <v>214</v>
      </c>
      <c r="AM4" s="47" t="s">
        <v>215</v>
      </c>
    </row>
    <row r="5" ht="15.0" customHeight="1">
      <c r="A5" s="48" t="s">
        <v>119</v>
      </c>
      <c r="B5" s="49" t="s">
        <v>120</v>
      </c>
      <c r="C5" s="35"/>
      <c r="D5" s="39" t="s">
        <v>216</v>
      </c>
      <c r="E5" s="39" t="s">
        <v>216</v>
      </c>
      <c r="F5" s="35"/>
      <c r="G5" s="39" t="s">
        <v>216</v>
      </c>
      <c r="H5" s="35"/>
      <c r="I5" s="39" t="s">
        <v>216</v>
      </c>
      <c r="J5" s="35"/>
      <c r="K5" s="35"/>
      <c r="L5" s="39" t="s">
        <v>216</v>
      </c>
      <c r="M5" s="35"/>
      <c r="N5" s="39" t="s">
        <v>217</v>
      </c>
      <c r="O5" s="35"/>
      <c r="P5" s="39" t="s">
        <v>216</v>
      </c>
      <c r="Q5" s="35"/>
      <c r="R5" s="39"/>
      <c r="S5" s="39" t="s">
        <v>217</v>
      </c>
      <c r="T5" s="35"/>
      <c r="U5" s="39" t="s">
        <v>216</v>
      </c>
      <c r="V5" s="39" t="s">
        <v>216</v>
      </c>
      <c r="W5" s="39"/>
      <c r="X5" s="35"/>
      <c r="Y5" s="35"/>
      <c r="Z5" s="39" t="s">
        <v>216</v>
      </c>
      <c r="AA5" s="35"/>
      <c r="AB5" s="39" t="s">
        <v>216</v>
      </c>
      <c r="AC5" s="35"/>
      <c r="AD5" s="35"/>
      <c r="AE5" s="35"/>
      <c r="AF5" s="35"/>
      <c r="AG5" s="39" t="s">
        <v>216</v>
      </c>
      <c r="AH5" s="50">
        <v>13.0</v>
      </c>
      <c r="AI5" s="50">
        <v>11.0</v>
      </c>
      <c r="AJ5" s="50">
        <v>2.0</v>
      </c>
      <c r="AK5" s="50">
        <v>13.0</v>
      </c>
      <c r="AL5" s="51">
        <v>0.8461538461538461</v>
      </c>
      <c r="AM5" s="52" t="s">
        <v>126</v>
      </c>
    </row>
    <row r="6" ht="15.0" customHeight="1">
      <c r="A6" s="48" t="s">
        <v>128</v>
      </c>
      <c r="B6" s="49" t="s">
        <v>180</v>
      </c>
      <c r="C6" s="35"/>
      <c r="D6" s="39" t="s">
        <v>216</v>
      </c>
      <c r="E6" s="35"/>
      <c r="F6" s="39" t="s">
        <v>216</v>
      </c>
      <c r="G6" s="35"/>
      <c r="H6" s="39" t="s">
        <v>216</v>
      </c>
      <c r="I6" s="35"/>
      <c r="J6" s="39" t="s">
        <v>216</v>
      </c>
      <c r="K6" s="39" t="s">
        <v>216</v>
      </c>
      <c r="L6" s="39"/>
      <c r="M6" s="39" t="s">
        <v>216</v>
      </c>
      <c r="N6" s="35"/>
      <c r="O6" s="39" t="s">
        <v>216</v>
      </c>
      <c r="P6" s="39" t="s">
        <v>216</v>
      </c>
      <c r="Q6" s="39"/>
      <c r="R6" s="35"/>
      <c r="S6" s="39" t="s">
        <v>216</v>
      </c>
      <c r="T6" s="39" t="s">
        <v>216</v>
      </c>
      <c r="U6" s="39" t="s">
        <v>216</v>
      </c>
      <c r="V6" s="39" t="s">
        <v>216</v>
      </c>
      <c r="W6" s="39"/>
      <c r="X6" s="35"/>
      <c r="Y6" s="35"/>
      <c r="Z6" s="39" t="s">
        <v>216</v>
      </c>
      <c r="AA6" s="39" t="s">
        <v>217</v>
      </c>
      <c r="AB6" s="35"/>
      <c r="AC6" s="39" t="s">
        <v>216</v>
      </c>
      <c r="AD6" s="35"/>
      <c r="AE6" s="35"/>
      <c r="AF6" s="35"/>
      <c r="AG6" s="39" t="s">
        <v>217</v>
      </c>
      <c r="AH6" s="50">
        <v>16.0</v>
      </c>
      <c r="AI6" s="50">
        <v>14.0</v>
      </c>
      <c r="AJ6" s="50">
        <v>2.0</v>
      </c>
      <c r="AK6" s="50">
        <v>16.0</v>
      </c>
      <c r="AL6" s="51">
        <v>0.875</v>
      </c>
      <c r="AM6" s="52" t="s">
        <v>150</v>
      </c>
    </row>
    <row r="7" ht="15.0" customHeight="1">
      <c r="A7" s="48" t="s">
        <v>135</v>
      </c>
      <c r="B7" s="49" t="s">
        <v>129</v>
      </c>
      <c r="C7" s="35"/>
      <c r="D7" s="35"/>
      <c r="E7" s="35"/>
      <c r="F7" s="35"/>
      <c r="G7" s="35"/>
      <c r="H7" s="35"/>
      <c r="I7" s="35"/>
      <c r="J7" s="35"/>
      <c r="K7" s="35"/>
      <c r="L7" s="39" t="s">
        <v>216</v>
      </c>
      <c r="M7" s="39" t="s">
        <v>216</v>
      </c>
      <c r="N7" s="35"/>
      <c r="O7" s="39" t="s">
        <v>216</v>
      </c>
      <c r="P7" s="39" t="s">
        <v>216</v>
      </c>
      <c r="Q7" s="35"/>
      <c r="R7" s="35"/>
      <c r="S7" s="39" t="s">
        <v>217</v>
      </c>
      <c r="T7" s="39" t="s">
        <v>216</v>
      </c>
      <c r="U7" s="39" t="s">
        <v>216</v>
      </c>
      <c r="V7" s="39" t="s">
        <v>216</v>
      </c>
      <c r="W7" s="39"/>
      <c r="X7" s="35"/>
      <c r="Y7" s="35"/>
      <c r="Z7" s="39" t="s">
        <v>216</v>
      </c>
      <c r="AA7" s="39" t="s">
        <v>216</v>
      </c>
      <c r="AB7" s="35"/>
      <c r="AC7" s="39" t="s">
        <v>216</v>
      </c>
      <c r="AD7" s="35"/>
      <c r="AE7" s="35"/>
      <c r="AF7" s="35"/>
      <c r="AG7" s="39" t="s">
        <v>216</v>
      </c>
      <c r="AH7" s="50">
        <v>12.0</v>
      </c>
      <c r="AI7" s="50">
        <v>11.0</v>
      </c>
      <c r="AJ7" s="50">
        <v>1.0</v>
      </c>
      <c r="AK7" s="50">
        <v>12.0</v>
      </c>
      <c r="AL7" s="51">
        <v>0.9166666666666666</v>
      </c>
      <c r="AM7" s="52" t="s">
        <v>150</v>
      </c>
    </row>
    <row r="8" ht="15.0" customHeight="1">
      <c r="A8" s="48" t="s">
        <v>141</v>
      </c>
      <c r="B8" s="49" t="s">
        <v>136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9" t="s">
        <v>216</v>
      </c>
      <c r="O8" s="35"/>
      <c r="P8" s="39" t="s">
        <v>216</v>
      </c>
      <c r="Q8" s="35"/>
      <c r="R8" s="35"/>
      <c r="S8" s="39" t="s">
        <v>216</v>
      </c>
      <c r="T8" s="35"/>
      <c r="U8" s="39" t="s">
        <v>216</v>
      </c>
      <c r="V8" s="39" t="s">
        <v>216</v>
      </c>
      <c r="W8" s="39"/>
      <c r="X8" s="35"/>
      <c r="Y8" s="35"/>
      <c r="Z8" s="39" t="s">
        <v>216</v>
      </c>
      <c r="AA8" s="35"/>
      <c r="AB8" s="39" t="s">
        <v>216</v>
      </c>
      <c r="AC8" s="35"/>
      <c r="AD8" s="35"/>
      <c r="AE8" s="35"/>
      <c r="AF8" s="35"/>
      <c r="AG8" s="39" t="s">
        <v>216</v>
      </c>
      <c r="AH8" s="50">
        <v>8.0</v>
      </c>
      <c r="AI8" s="50">
        <v>8.0</v>
      </c>
      <c r="AJ8" s="50">
        <v>0.0</v>
      </c>
      <c r="AK8" s="50">
        <v>8.0</v>
      </c>
      <c r="AL8" s="51">
        <v>1.0</v>
      </c>
      <c r="AM8" s="52" t="s">
        <v>126</v>
      </c>
    </row>
    <row r="9" ht="15.0" customHeight="1">
      <c r="A9" s="48" t="s">
        <v>145</v>
      </c>
      <c r="B9" s="49" t="s">
        <v>142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9"/>
      <c r="O9" s="39" t="s">
        <v>216</v>
      </c>
      <c r="P9" s="35"/>
      <c r="Q9" s="35"/>
      <c r="R9" s="35"/>
      <c r="S9" s="39" t="s">
        <v>217</v>
      </c>
      <c r="T9" s="35"/>
      <c r="U9" s="35"/>
      <c r="V9" s="39" t="s">
        <v>216</v>
      </c>
      <c r="W9" s="35"/>
      <c r="X9" s="35"/>
      <c r="Y9" s="35"/>
      <c r="Z9" s="39" t="s">
        <v>216</v>
      </c>
      <c r="AA9" s="35"/>
      <c r="AB9" s="35"/>
      <c r="AC9" s="39" t="s">
        <v>216</v>
      </c>
      <c r="AD9" s="35"/>
      <c r="AE9" s="35"/>
      <c r="AF9" s="35"/>
      <c r="AG9" s="39" t="s">
        <v>216</v>
      </c>
      <c r="AH9" s="50">
        <v>6.0</v>
      </c>
      <c r="AI9" s="50">
        <v>5.0</v>
      </c>
      <c r="AJ9" s="50">
        <v>1.0</v>
      </c>
      <c r="AK9" s="50">
        <v>6.0</v>
      </c>
      <c r="AL9" s="51">
        <v>0.8333333333333334</v>
      </c>
      <c r="AM9" s="52" t="s">
        <v>150</v>
      </c>
    </row>
    <row r="10">
      <c r="A10" s="48" t="s">
        <v>151</v>
      </c>
      <c r="B10" s="49" t="s">
        <v>218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9"/>
      <c r="O10" s="39"/>
      <c r="P10" s="35"/>
      <c r="Q10" s="35"/>
      <c r="R10" s="35"/>
      <c r="S10" s="39" t="s">
        <v>216</v>
      </c>
      <c r="T10" s="39" t="s">
        <v>216</v>
      </c>
      <c r="U10" s="39" t="s">
        <v>216</v>
      </c>
      <c r="V10" s="39" t="s">
        <v>216</v>
      </c>
      <c r="W10" s="39"/>
      <c r="X10" s="35"/>
      <c r="Y10" s="35"/>
      <c r="Z10" s="39" t="s">
        <v>216</v>
      </c>
      <c r="AA10" s="39" t="s">
        <v>216</v>
      </c>
      <c r="AB10" s="35"/>
      <c r="AC10" s="39" t="s">
        <v>216</v>
      </c>
      <c r="AD10" s="35"/>
      <c r="AE10" s="35"/>
      <c r="AF10" s="35"/>
      <c r="AG10" s="39" t="s">
        <v>216</v>
      </c>
      <c r="AH10" s="50">
        <v>8.0</v>
      </c>
      <c r="AI10" s="50">
        <v>8.0</v>
      </c>
      <c r="AJ10" s="50">
        <v>0.0</v>
      </c>
      <c r="AK10" s="50">
        <v>8.0</v>
      </c>
      <c r="AL10" s="51">
        <v>1.0</v>
      </c>
      <c r="AM10" s="52" t="s">
        <v>150</v>
      </c>
    </row>
    <row r="11" ht="15.0" customHeight="1">
      <c r="A11" s="19" t="s">
        <v>219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</sheetData>
  <dataValidations>
    <dataValidation type="list" allowBlank="1" sqref="C5:AG10">
      <formula1>"P,A,S"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11.0"/>
    <col customWidth="1" min="4" max="4" width="13.0"/>
    <col customWidth="1" min="5" max="5" width="15.0"/>
    <col customWidth="1" min="6" max="8" width="14.0"/>
    <col customWidth="1" min="9" max="9" width="12.0"/>
    <col customWidth="1" min="10" max="10" width="11.0"/>
    <col customWidth="1" min="11" max="12" width="13.0"/>
    <col customWidth="1" min="13" max="13" width="24.0"/>
    <col customWidth="1" min="14" max="27" width="8.71"/>
  </cols>
  <sheetData>
    <row r="1" ht="17.25" customHeight="1">
      <c r="A1" s="42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5.0" customHeight="1">
      <c r="A2" s="43" t="s">
        <v>221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7.75" customHeight="1">
      <c r="A4" s="2" t="s">
        <v>1</v>
      </c>
      <c r="B4" s="2" t="s">
        <v>209</v>
      </c>
      <c r="C4" s="2" t="s">
        <v>0</v>
      </c>
      <c r="D4" s="2" t="s">
        <v>222</v>
      </c>
      <c r="E4" s="2" t="s">
        <v>223</v>
      </c>
      <c r="F4" s="53" t="s">
        <v>224</v>
      </c>
      <c r="G4" s="2" t="s">
        <v>225</v>
      </c>
      <c r="H4" s="2" t="s">
        <v>226</v>
      </c>
      <c r="I4" s="2" t="s">
        <v>227</v>
      </c>
      <c r="J4" s="2" t="s">
        <v>21</v>
      </c>
      <c r="K4" s="2" t="s">
        <v>228</v>
      </c>
      <c r="L4" s="2" t="s">
        <v>229</v>
      </c>
      <c r="M4" s="2" t="s">
        <v>5</v>
      </c>
    </row>
    <row r="5" ht="15.0" customHeight="1">
      <c r="A5" s="35" t="s">
        <v>119</v>
      </c>
      <c r="B5" s="49" t="s">
        <v>120</v>
      </c>
      <c r="C5" s="50" t="s">
        <v>44</v>
      </c>
      <c r="D5" s="40">
        <v>20.0</v>
      </c>
      <c r="E5" s="50">
        <v>13.0</v>
      </c>
      <c r="F5" s="54">
        <v>13.0</v>
      </c>
      <c r="G5" s="40">
        <v>260.0</v>
      </c>
      <c r="H5" s="6">
        <v>260.0</v>
      </c>
      <c r="I5" s="40">
        <v>0.0</v>
      </c>
      <c r="J5" s="50" t="s">
        <v>230</v>
      </c>
      <c r="K5" s="37">
        <v>46262.0</v>
      </c>
      <c r="L5" s="55" t="s">
        <v>231</v>
      </c>
      <c r="M5" s="56" t="s">
        <v>126</v>
      </c>
    </row>
    <row r="6" ht="15.0" customHeight="1">
      <c r="A6" s="35" t="s">
        <v>128</v>
      </c>
      <c r="B6" s="49" t="s">
        <v>180</v>
      </c>
      <c r="C6" s="50" t="s">
        <v>23</v>
      </c>
      <c r="D6" s="40">
        <v>10.0</v>
      </c>
      <c r="E6" s="50">
        <v>16.0</v>
      </c>
      <c r="F6" s="54">
        <v>16.0</v>
      </c>
      <c r="G6" s="40">
        <v>160.0</v>
      </c>
      <c r="H6" s="6">
        <v>160.0</v>
      </c>
      <c r="I6" s="40">
        <v>0.0</v>
      </c>
      <c r="J6" s="50" t="s">
        <v>230</v>
      </c>
      <c r="K6" s="37">
        <v>46236.0</v>
      </c>
      <c r="L6" s="55" t="s">
        <v>231</v>
      </c>
      <c r="M6" s="56" t="s">
        <v>150</v>
      </c>
    </row>
    <row r="7" ht="15.0" customHeight="1">
      <c r="A7" s="35" t="s">
        <v>135</v>
      </c>
      <c r="B7" s="49" t="s">
        <v>129</v>
      </c>
      <c r="C7" s="50" t="s">
        <v>27</v>
      </c>
      <c r="D7" s="40">
        <v>15.0</v>
      </c>
      <c r="E7" s="50">
        <v>12.0</v>
      </c>
      <c r="F7" s="54">
        <v>12.0</v>
      </c>
      <c r="G7" s="40">
        <v>180.0</v>
      </c>
      <c r="H7" s="6">
        <v>180.0</v>
      </c>
      <c r="I7" s="40">
        <v>0.0</v>
      </c>
      <c r="J7" s="50" t="s">
        <v>230</v>
      </c>
      <c r="K7" s="37">
        <v>42600.0</v>
      </c>
      <c r="L7" s="55" t="s">
        <v>231</v>
      </c>
      <c r="M7" s="56" t="s">
        <v>150</v>
      </c>
    </row>
    <row r="8" ht="15.0" customHeight="1">
      <c r="A8" s="35" t="s">
        <v>141</v>
      </c>
      <c r="B8" s="49" t="s">
        <v>136</v>
      </c>
      <c r="C8" s="50" t="s">
        <v>44</v>
      </c>
      <c r="D8" s="40">
        <v>20.0</v>
      </c>
      <c r="E8" s="50">
        <v>8.0</v>
      </c>
      <c r="F8" s="54">
        <v>8.0</v>
      </c>
      <c r="G8" s="40">
        <v>160.0</v>
      </c>
      <c r="H8" s="6">
        <v>160.0</v>
      </c>
      <c r="I8" s="40">
        <v>0.0</v>
      </c>
      <c r="J8" s="50" t="s">
        <v>230</v>
      </c>
      <c r="K8" s="37">
        <v>46251.0</v>
      </c>
      <c r="L8" s="55" t="s">
        <v>231</v>
      </c>
      <c r="M8" s="56" t="s">
        <v>126</v>
      </c>
      <c r="N8" s="57"/>
    </row>
    <row r="9" ht="15.0" customHeight="1">
      <c r="A9" s="35" t="s">
        <v>145</v>
      </c>
      <c r="B9" s="49" t="s">
        <v>142</v>
      </c>
      <c r="C9" s="50" t="s">
        <v>28</v>
      </c>
      <c r="D9" s="40">
        <v>15.0</v>
      </c>
      <c r="E9" s="50">
        <v>6.0</v>
      </c>
      <c r="F9" s="54">
        <v>6.0</v>
      </c>
      <c r="G9" s="40">
        <v>90.0</v>
      </c>
      <c r="H9" s="6">
        <v>100.0</v>
      </c>
      <c r="I9" s="40">
        <v>-10.0</v>
      </c>
      <c r="J9" s="50" t="s">
        <v>230</v>
      </c>
      <c r="K9" s="37">
        <v>46254.0</v>
      </c>
      <c r="L9" s="55" t="s">
        <v>231</v>
      </c>
      <c r="M9" s="56" t="s">
        <v>150</v>
      </c>
      <c r="N9" s="57"/>
    </row>
    <row r="10" ht="15.0" customHeight="1">
      <c r="A10" s="35" t="s">
        <v>151</v>
      </c>
      <c r="B10" s="49" t="s">
        <v>218</v>
      </c>
      <c r="C10" s="50" t="s">
        <v>23</v>
      </c>
      <c r="D10" s="40">
        <v>10.0</v>
      </c>
      <c r="E10" s="50">
        <v>8.0</v>
      </c>
      <c r="F10" s="54">
        <v>8.0</v>
      </c>
      <c r="G10" s="40">
        <v>80.0</v>
      </c>
      <c r="H10" s="6">
        <v>100.0</v>
      </c>
      <c r="I10" s="40">
        <v>-20.0</v>
      </c>
      <c r="J10" s="50" t="s">
        <v>230</v>
      </c>
      <c r="K10" s="37">
        <v>46265.0</v>
      </c>
      <c r="L10" s="55" t="s">
        <v>231</v>
      </c>
      <c r="M10" s="56" t="s">
        <v>150</v>
      </c>
    </row>
    <row r="11" ht="15.0" customHeight="1">
      <c r="A11" s="58"/>
      <c r="B11" s="59" t="s">
        <v>232</v>
      </c>
      <c r="C11" s="60" t="s">
        <v>233</v>
      </c>
      <c r="D11" s="58"/>
      <c r="E11" s="58"/>
      <c r="F11" s="61"/>
      <c r="G11" s="61">
        <v>930.0</v>
      </c>
      <c r="H11" s="61">
        <v>960.0</v>
      </c>
      <c r="I11" s="61">
        <v>-30.0</v>
      </c>
      <c r="J11" s="61"/>
      <c r="K11" s="61"/>
      <c r="L11" s="58"/>
      <c r="M11" s="58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62" t="s">
        <v>234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</sheetData>
  <dataValidations>
    <dataValidation type="list" allowBlank="1" sqref="L5:L10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29"/>
    <col customWidth="1" min="3" max="3" width="74.29"/>
    <col customWidth="1" min="4" max="4" width="54.71"/>
    <col customWidth="1" min="5" max="5" width="38.57"/>
  </cols>
  <sheetData>
    <row r="1">
      <c r="A1" s="2" t="s">
        <v>1</v>
      </c>
      <c r="B1" s="2" t="s">
        <v>209</v>
      </c>
      <c r="C1" s="2" t="s">
        <v>235</v>
      </c>
      <c r="D1" s="2" t="s">
        <v>236</v>
      </c>
      <c r="E1" s="2" t="s">
        <v>237</v>
      </c>
    </row>
    <row r="2">
      <c r="A2" s="35" t="s">
        <v>119</v>
      </c>
      <c r="B2" s="49" t="s">
        <v>120</v>
      </c>
      <c r="C2" s="63" t="s">
        <v>238</v>
      </c>
      <c r="E2" s="63" t="s">
        <v>239</v>
      </c>
    </row>
    <row r="3">
      <c r="A3" s="35" t="s">
        <v>128</v>
      </c>
      <c r="B3" s="63" t="s">
        <v>180</v>
      </c>
      <c r="C3" s="63" t="s">
        <v>240</v>
      </c>
      <c r="D3" s="63" t="s">
        <v>241</v>
      </c>
      <c r="E3" s="63" t="s">
        <v>242</v>
      </c>
    </row>
    <row r="4">
      <c r="A4" s="35" t="s">
        <v>135</v>
      </c>
      <c r="B4" s="49" t="s">
        <v>129</v>
      </c>
      <c r="C4" s="63" t="s">
        <v>243</v>
      </c>
      <c r="D4" s="63" t="s">
        <v>244</v>
      </c>
      <c r="E4" s="63" t="s">
        <v>245</v>
      </c>
    </row>
    <row r="5">
      <c r="A5" s="35" t="s">
        <v>141</v>
      </c>
      <c r="B5" s="49" t="s">
        <v>136</v>
      </c>
      <c r="C5" s="63" t="s">
        <v>246</v>
      </c>
      <c r="D5" s="63" t="s">
        <v>247</v>
      </c>
      <c r="E5" s="63" t="s">
        <v>245</v>
      </c>
    </row>
    <row r="6">
      <c r="A6" s="35" t="s">
        <v>145</v>
      </c>
      <c r="B6" s="49" t="s">
        <v>142</v>
      </c>
      <c r="C6" s="63" t="s">
        <v>243</v>
      </c>
      <c r="D6" s="63" t="s">
        <v>248</v>
      </c>
      <c r="E6" s="63" t="s">
        <v>249</v>
      </c>
    </row>
    <row r="7">
      <c r="A7" s="35" t="s">
        <v>151</v>
      </c>
      <c r="B7" s="49" t="s">
        <v>218</v>
      </c>
      <c r="C7" s="63" t="s">
        <v>250</v>
      </c>
      <c r="D7" s="63" t="s">
        <v>251</v>
      </c>
      <c r="E7" s="63" t="s">
        <v>252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28.29"/>
    <col customWidth="1" min="3" max="4" width="5.0"/>
    <col customWidth="1" min="5" max="5" width="4.29"/>
    <col customWidth="1" min="6" max="31" width="5.0"/>
    <col customWidth="1" min="32" max="32" width="5.57"/>
    <col customWidth="1" min="33" max="33" width="13.71"/>
    <col customWidth="1" min="34" max="37" width="9.0"/>
  </cols>
  <sheetData>
    <row r="1">
      <c r="A1" s="42" t="s">
        <v>253</v>
      </c>
      <c r="AG1" s="1"/>
    </row>
    <row r="2">
      <c r="A2" s="43" t="s">
        <v>203</v>
      </c>
      <c r="AG2" s="1"/>
    </row>
    <row r="3">
      <c r="C3" s="44" t="s">
        <v>206</v>
      </c>
      <c r="D3" s="44" t="s">
        <v>207</v>
      </c>
      <c r="E3" s="44" t="s">
        <v>206</v>
      </c>
      <c r="F3" s="44" t="s">
        <v>208</v>
      </c>
      <c r="G3" s="44" t="s">
        <v>204</v>
      </c>
      <c r="H3" s="44" t="s">
        <v>204</v>
      </c>
      <c r="I3" s="44" t="s">
        <v>205</v>
      </c>
      <c r="J3" s="44" t="s">
        <v>206</v>
      </c>
      <c r="K3" s="44" t="s">
        <v>207</v>
      </c>
      <c r="L3" s="44" t="s">
        <v>206</v>
      </c>
      <c r="M3" s="44" t="s">
        <v>208</v>
      </c>
      <c r="N3" s="44" t="s">
        <v>204</v>
      </c>
      <c r="O3" s="44" t="s">
        <v>204</v>
      </c>
      <c r="P3" s="44" t="s">
        <v>205</v>
      </c>
      <c r="Q3" s="44" t="s">
        <v>206</v>
      </c>
      <c r="R3" s="44" t="s">
        <v>207</v>
      </c>
      <c r="S3" s="44" t="s">
        <v>206</v>
      </c>
      <c r="T3" s="44" t="s">
        <v>208</v>
      </c>
      <c r="U3" s="44" t="s">
        <v>204</v>
      </c>
      <c r="V3" s="44" t="s">
        <v>204</v>
      </c>
      <c r="W3" s="44" t="s">
        <v>205</v>
      </c>
      <c r="X3" s="44" t="s">
        <v>206</v>
      </c>
      <c r="Y3" s="44" t="s">
        <v>207</v>
      </c>
      <c r="Z3" s="44" t="s">
        <v>206</v>
      </c>
      <c r="AA3" s="44" t="s">
        <v>208</v>
      </c>
      <c r="AB3" s="44" t="s">
        <v>204</v>
      </c>
      <c r="AC3" s="44" t="s">
        <v>204</v>
      </c>
      <c r="AD3" s="44" t="s">
        <v>205</v>
      </c>
      <c r="AE3" s="44" t="s">
        <v>206</v>
      </c>
      <c r="AF3" s="44" t="s">
        <v>207</v>
      </c>
      <c r="AG3" s="1"/>
    </row>
    <row r="4" ht="25.5" customHeight="1">
      <c r="A4" s="45" t="s">
        <v>1</v>
      </c>
      <c r="B4" s="45" t="s">
        <v>209</v>
      </c>
      <c r="C4" s="45">
        <v>1.0</v>
      </c>
      <c r="D4" s="45">
        <v>2.0</v>
      </c>
      <c r="E4" s="45">
        <v>3.0</v>
      </c>
      <c r="F4" s="45">
        <v>4.0</v>
      </c>
      <c r="G4" s="45">
        <v>5.0</v>
      </c>
      <c r="H4" s="45">
        <v>6.0</v>
      </c>
      <c r="I4" s="45">
        <v>7.0</v>
      </c>
      <c r="J4" s="45">
        <v>8.0</v>
      </c>
      <c r="K4" s="45">
        <v>9.0</v>
      </c>
      <c r="L4" s="45">
        <v>10.0</v>
      </c>
      <c r="M4" s="45">
        <v>11.0</v>
      </c>
      <c r="N4" s="45">
        <v>12.0</v>
      </c>
      <c r="O4" s="45">
        <v>13.0</v>
      </c>
      <c r="P4" s="45">
        <v>14.0</v>
      </c>
      <c r="Q4" s="45">
        <v>15.0</v>
      </c>
      <c r="R4" s="45">
        <v>16.0</v>
      </c>
      <c r="S4" s="45">
        <v>17.0</v>
      </c>
      <c r="T4" s="45">
        <v>18.0</v>
      </c>
      <c r="U4" s="45">
        <v>19.0</v>
      </c>
      <c r="V4" s="45">
        <v>20.0</v>
      </c>
      <c r="W4" s="45">
        <v>21.0</v>
      </c>
      <c r="X4" s="45">
        <v>22.0</v>
      </c>
      <c r="Y4" s="45">
        <v>23.0</v>
      </c>
      <c r="Z4" s="45">
        <v>24.0</v>
      </c>
      <c r="AA4" s="45">
        <v>25.0</v>
      </c>
      <c r="AB4" s="45">
        <v>26.0</v>
      </c>
      <c r="AC4" s="45">
        <v>27.0</v>
      </c>
      <c r="AD4" s="45">
        <v>28.0</v>
      </c>
      <c r="AE4" s="45">
        <v>29.0</v>
      </c>
      <c r="AF4" s="45">
        <v>30.0</v>
      </c>
      <c r="AG4" s="64" t="s">
        <v>210</v>
      </c>
      <c r="AH4" s="45" t="s">
        <v>211</v>
      </c>
      <c r="AI4" s="45" t="s">
        <v>212</v>
      </c>
      <c r="AJ4" s="45" t="s">
        <v>213</v>
      </c>
      <c r="AK4" s="45" t="s">
        <v>214</v>
      </c>
    </row>
    <row r="5">
      <c r="A5" s="48" t="s">
        <v>119</v>
      </c>
      <c r="B5" s="49" t="s">
        <v>120</v>
      </c>
      <c r="C5" s="55" t="s">
        <v>216</v>
      </c>
      <c r="D5" s="55"/>
      <c r="E5" s="55" t="s">
        <v>216</v>
      </c>
      <c r="F5" s="55"/>
      <c r="G5" s="35"/>
      <c r="H5" s="35"/>
      <c r="I5" s="55" t="s">
        <v>216</v>
      </c>
      <c r="J5" s="35"/>
      <c r="K5" s="55" t="s">
        <v>216</v>
      </c>
      <c r="L5" s="55" t="s">
        <v>217</v>
      </c>
      <c r="M5" s="55" t="s">
        <v>216</v>
      </c>
      <c r="N5" s="35"/>
      <c r="O5" s="35"/>
      <c r="P5" s="55" t="s">
        <v>216</v>
      </c>
      <c r="Q5" s="35"/>
      <c r="R5" s="55" t="s">
        <v>216</v>
      </c>
      <c r="S5" s="55" t="s">
        <v>216</v>
      </c>
      <c r="T5" s="55" t="s">
        <v>216</v>
      </c>
      <c r="U5" s="35"/>
      <c r="V5" s="35"/>
      <c r="W5" s="55" t="s">
        <v>216</v>
      </c>
      <c r="X5" s="35"/>
      <c r="Y5" s="55" t="s">
        <v>216</v>
      </c>
      <c r="Z5" s="55" t="s">
        <v>216</v>
      </c>
      <c r="AA5" s="55"/>
      <c r="AB5" s="35"/>
      <c r="AC5" s="55"/>
      <c r="AD5" s="35"/>
      <c r="AE5" s="35"/>
      <c r="AF5" s="35"/>
      <c r="AG5" s="50">
        <v>13.0</v>
      </c>
      <c r="AH5" s="50">
        <v>12.0</v>
      </c>
      <c r="AI5" s="50">
        <v>1.0</v>
      </c>
      <c r="AJ5" s="50">
        <v>13.0</v>
      </c>
      <c r="AK5" s="51">
        <v>0.9230769230769231</v>
      </c>
    </row>
    <row r="6">
      <c r="A6" s="48" t="s">
        <v>128</v>
      </c>
      <c r="B6" s="49" t="s">
        <v>129</v>
      </c>
      <c r="C6" s="55" t="s">
        <v>216</v>
      </c>
      <c r="D6" s="55"/>
      <c r="E6" s="55" t="s">
        <v>216</v>
      </c>
      <c r="F6" s="55" t="s">
        <v>216</v>
      </c>
      <c r="G6" s="35"/>
      <c r="H6" s="35"/>
      <c r="I6" s="55" t="s">
        <v>216</v>
      </c>
      <c r="J6" s="55" t="s">
        <v>216</v>
      </c>
      <c r="K6" s="55"/>
      <c r="L6" s="55" t="s">
        <v>217</v>
      </c>
      <c r="M6" s="55"/>
      <c r="N6" s="35"/>
      <c r="O6" s="55"/>
      <c r="P6" s="55" t="s">
        <v>216</v>
      </c>
      <c r="Q6" s="55" t="s">
        <v>216</v>
      </c>
      <c r="R6" s="55"/>
      <c r="S6" s="55" t="s">
        <v>217</v>
      </c>
      <c r="T6" s="55"/>
      <c r="U6" s="35"/>
      <c r="V6" s="55"/>
      <c r="W6" s="55" t="s">
        <v>216</v>
      </c>
      <c r="X6" s="55" t="s">
        <v>216</v>
      </c>
      <c r="Y6" s="55"/>
      <c r="Z6" s="55" t="s">
        <v>216</v>
      </c>
      <c r="AA6" s="35"/>
      <c r="AB6" s="35"/>
      <c r="AC6" s="35"/>
      <c r="AD6" s="35"/>
      <c r="AE6" s="35"/>
      <c r="AF6" s="35"/>
      <c r="AG6" s="50">
        <v>12.0</v>
      </c>
      <c r="AH6" s="50">
        <v>10.0</v>
      </c>
      <c r="AI6" s="50">
        <v>2.0</v>
      </c>
      <c r="AJ6" s="50">
        <v>12.0</v>
      </c>
      <c r="AK6" s="51">
        <v>0.8333333333333334</v>
      </c>
    </row>
    <row r="7">
      <c r="A7" s="48" t="s">
        <v>135</v>
      </c>
      <c r="B7" s="49" t="s">
        <v>136</v>
      </c>
      <c r="C7" s="55" t="s">
        <v>216</v>
      </c>
      <c r="D7" s="55"/>
      <c r="E7" s="55" t="s">
        <v>216</v>
      </c>
      <c r="F7" s="55"/>
      <c r="G7" s="35"/>
      <c r="H7" s="35"/>
      <c r="I7" s="55" t="s">
        <v>216</v>
      </c>
      <c r="J7" s="35"/>
      <c r="K7" s="55" t="s">
        <v>216</v>
      </c>
      <c r="L7" s="55" t="s">
        <v>217</v>
      </c>
      <c r="M7" s="55" t="s">
        <v>216</v>
      </c>
      <c r="N7" s="35"/>
      <c r="O7" s="35"/>
      <c r="P7" s="55" t="s">
        <v>216</v>
      </c>
      <c r="Q7" s="35"/>
      <c r="R7" s="55" t="s">
        <v>216</v>
      </c>
      <c r="S7" s="55" t="s">
        <v>216</v>
      </c>
      <c r="T7" s="55" t="s">
        <v>216</v>
      </c>
      <c r="U7" s="35"/>
      <c r="V7" s="35"/>
      <c r="W7" s="55" t="s">
        <v>216</v>
      </c>
      <c r="X7" s="35"/>
      <c r="Y7" s="55" t="s">
        <v>216</v>
      </c>
      <c r="Z7" s="55" t="s">
        <v>216</v>
      </c>
      <c r="AA7" s="55"/>
      <c r="AB7" s="35"/>
      <c r="AC7" s="35"/>
      <c r="AD7" s="35"/>
      <c r="AE7" s="35"/>
      <c r="AF7" s="35"/>
      <c r="AG7" s="50">
        <v>13.0</v>
      </c>
      <c r="AH7" s="50">
        <v>12.0</v>
      </c>
      <c r="AI7" s="50">
        <v>1.0</v>
      </c>
      <c r="AJ7" s="50">
        <v>13.0</v>
      </c>
      <c r="AK7" s="51">
        <v>0.9230769230769231</v>
      </c>
    </row>
    <row r="8">
      <c r="A8" s="48" t="s">
        <v>141</v>
      </c>
      <c r="B8" s="49" t="s">
        <v>142</v>
      </c>
      <c r="C8" s="55"/>
      <c r="D8" s="55"/>
      <c r="E8" s="55" t="s">
        <v>217</v>
      </c>
      <c r="F8" s="55"/>
      <c r="G8" s="35"/>
      <c r="H8" s="35"/>
      <c r="I8" s="55" t="s">
        <v>216</v>
      </c>
      <c r="J8" s="55"/>
      <c r="K8" s="55"/>
      <c r="L8" s="55" t="s">
        <v>217</v>
      </c>
      <c r="M8" s="55"/>
      <c r="N8" s="35"/>
      <c r="O8" s="55"/>
      <c r="P8" s="55" t="s">
        <v>216</v>
      </c>
      <c r="Q8" s="55"/>
      <c r="R8" s="55"/>
      <c r="S8" s="55" t="s">
        <v>217</v>
      </c>
      <c r="T8" s="55"/>
      <c r="U8" s="35"/>
      <c r="V8" s="55"/>
      <c r="W8" s="55" t="s">
        <v>216</v>
      </c>
      <c r="X8" s="55"/>
      <c r="Y8" s="55"/>
      <c r="Z8" s="55" t="s">
        <v>216</v>
      </c>
      <c r="AA8" s="35"/>
      <c r="AB8" s="35"/>
      <c r="AC8" s="35"/>
      <c r="AD8" s="35"/>
      <c r="AE8" s="35"/>
      <c r="AF8" s="35"/>
      <c r="AG8" s="50">
        <v>7.0</v>
      </c>
      <c r="AH8" s="50">
        <v>4.0</v>
      </c>
      <c r="AI8" s="50">
        <v>3.0</v>
      </c>
      <c r="AJ8" s="50">
        <v>7.0</v>
      </c>
      <c r="AK8" s="51">
        <v>0.5714285714285714</v>
      </c>
    </row>
    <row r="9">
      <c r="A9" s="48" t="s">
        <v>145</v>
      </c>
      <c r="B9" s="49" t="s">
        <v>146</v>
      </c>
      <c r="C9" s="55" t="s">
        <v>216</v>
      </c>
      <c r="D9" s="55"/>
      <c r="E9" s="55" t="s">
        <v>216</v>
      </c>
      <c r="F9" s="55" t="s">
        <v>216</v>
      </c>
      <c r="G9" s="35"/>
      <c r="H9" s="35"/>
      <c r="I9" s="55" t="s">
        <v>217</v>
      </c>
      <c r="J9" s="35"/>
      <c r="K9" s="55" t="s">
        <v>216</v>
      </c>
      <c r="L9" s="55"/>
      <c r="M9" s="55" t="s">
        <v>216</v>
      </c>
      <c r="N9" s="35"/>
      <c r="O9" s="35"/>
      <c r="P9" s="55" t="s">
        <v>216</v>
      </c>
      <c r="Q9" s="35"/>
      <c r="R9" s="55" t="s">
        <v>216</v>
      </c>
      <c r="S9" s="55"/>
      <c r="T9" s="55" t="s">
        <v>216</v>
      </c>
      <c r="U9" s="35"/>
      <c r="V9" s="35"/>
      <c r="W9" s="55" t="s">
        <v>216</v>
      </c>
      <c r="X9" s="35"/>
      <c r="Y9" s="55" t="s">
        <v>216</v>
      </c>
      <c r="Z9" s="55" t="s">
        <v>216</v>
      </c>
      <c r="AA9" s="35"/>
      <c r="AB9" s="35"/>
      <c r="AC9" s="35"/>
      <c r="AD9" s="35"/>
      <c r="AE9" s="35"/>
      <c r="AF9" s="35"/>
      <c r="AG9" s="50">
        <v>12.0</v>
      </c>
      <c r="AH9" s="50">
        <v>11.0</v>
      </c>
      <c r="AI9" s="50">
        <v>1.0</v>
      </c>
      <c r="AJ9" s="50">
        <v>12.0</v>
      </c>
      <c r="AK9" s="51">
        <v>0.9166666666666666</v>
      </c>
    </row>
    <row r="10">
      <c r="A10" s="48" t="s">
        <v>151</v>
      </c>
      <c r="B10" s="49" t="s">
        <v>152</v>
      </c>
      <c r="C10" s="55"/>
      <c r="D10" s="55"/>
      <c r="E10" s="35"/>
      <c r="F10" s="55"/>
      <c r="G10" s="35"/>
      <c r="H10" s="35"/>
      <c r="I10" s="55"/>
      <c r="J10" s="55" t="s">
        <v>216</v>
      </c>
      <c r="K10" s="55"/>
      <c r="L10" s="55" t="s">
        <v>216</v>
      </c>
      <c r="M10" s="55"/>
      <c r="N10" s="35"/>
      <c r="O10" s="55"/>
      <c r="P10" s="55" t="s">
        <v>216</v>
      </c>
      <c r="Q10" s="55" t="s">
        <v>216</v>
      </c>
      <c r="R10" s="55"/>
      <c r="S10" s="55" t="s">
        <v>216</v>
      </c>
      <c r="T10" s="55"/>
      <c r="U10" s="35"/>
      <c r="V10" s="55"/>
      <c r="W10" s="55" t="s">
        <v>216</v>
      </c>
      <c r="X10" s="55" t="s">
        <v>216</v>
      </c>
      <c r="Y10" s="55"/>
      <c r="Z10" s="55" t="s">
        <v>217</v>
      </c>
      <c r="AA10" s="35"/>
      <c r="AB10" s="35"/>
      <c r="AC10" s="35"/>
      <c r="AD10" s="35"/>
      <c r="AE10" s="35"/>
      <c r="AF10" s="35"/>
      <c r="AG10" s="50">
        <v>8.0</v>
      </c>
      <c r="AH10" s="50">
        <v>7.0</v>
      </c>
      <c r="AI10" s="50">
        <v>1.0</v>
      </c>
      <c r="AJ10" s="50">
        <v>8.0</v>
      </c>
      <c r="AK10" s="51">
        <v>0.875</v>
      </c>
    </row>
    <row r="11">
      <c r="A11" s="48" t="s">
        <v>158</v>
      </c>
      <c r="B11" s="49" t="s">
        <v>159</v>
      </c>
      <c r="C11" s="55"/>
      <c r="D11" s="55"/>
      <c r="E11" s="35"/>
      <c r="F11" s="55"/>
      <c r="G11" s="35"/>
      <c r="H11" s="35"/>
      <c r="I11" s="55"/>
      <c r="J11" s="55" t="s">
        <v>216</v>
      </c>
      <c r="K11" s="55"/>
      <c r="L11" s="55" t="s">
        <v>216</v>
      </c>
      <c r="M11" s="55"/>
      <c r="N11" s="35"/>
      <c r="O11" s="55"/>
      <c r="P11" s="55" t="s">
        <v>216</v>
      </c>
      <c r="Q11" s="55" t="s">
        <v>216</v>
      </c>
      <c r="R11" s="55"/>
      <c r="S11" s="55" t="s">
        <v>216</v>
      </c>
      <c r="T11" s="55"/>
      <c r="U11" s="35"/>
      <c r="V11" s="55"/>
      <c r="W11" s="55" t="s">
        <v>216</v>
      </c>
      <c r="X11" s="55" t="s">
        <v>216</v>
      </c>
      <c r="Y11" s="55"/>
      <c r="Z11" s="55" t="s">
        <v>216</v>
      </c>
      <c r="AA11" s="35"/>
      <c r="AB11" s="35"/>
      <c r="AC11" s="35"/>
      <c r="AD11" s="35"/>
      <c r="AE11" s="35"/>
      <c r="AF11" s="35"/>
      <c r="AG11" s="50">
        <v>8.0</v>
      </c>
      <c r="AH11" s="50">
        <v>8.0</v>
      </c>
      <c r="AI11" s="50">
        <v>0.0</v>
      </c>
      <c r="AJ11" s="50">
        <v>8.0</v>
      </c>
      <c r="AK11" s="51">
        <v>1.0</v>
      </c>
    </row>
    <row r="12">
      <c r="A12" s="48" t="s">
        <v>163</v>
      </c>
      <c r="B12" s="49" t="s">
        <v>164</v>
      </c>
      <c r="C12" s="55"/>
      <c r="D12" s="55"/>
      <c r="E12" s="35"/>
      <c r="F12" s="55"/>
      <c r="G12" s="35"/>
      <c r="H12" s="55" t="s">
        <v>216</v>
      </c>
      <c r="I12" s="55"/>
      <c r="J12" s="55"/>
      <c r="K12" s="55"/>
      <c r="L12" s="55"/>
      <c r="M12" s="55"/>
      <c r="N12" s="35"/>
      <c r="O12" s="55"/>
      <c r="P12" s="55"/>
      <c r="Q12" s="55" t="s">
        <v>216</v>
      </c>
      <c r="R12" s="55"/>
      <c r="S12" s="55"/>
      <c r="T12" s="55"/>
      <c r="U12" s="35"/>
      <c r="V12" s="55"/>
      <c r="W12" s="55"/>
      <c r="X12" s="55"/>
      <c r="Y12" s="55" t="s">
        <v>216</v>
      </c>
      <c r="Z12" s="55"/>
      <c r="AA12" s="35"/>
      <c r="AB12" s="35"/>
      <c r="AC12" s="35"/>
      <c r="AD12" s="35"/>
      <c r="AE12" s="35"/>
      <c r="AF12" s="35"/>
      <c r="AG12" s="50">
        <v>3.0</v>
      </c>
      <c r="AH12" s="50">
        <v>3.0</v>
      </c>
      <c r="AI12" s="50">
        <v>0.0</v>
      </c>
      <c r="AJ12" s="50">
        <v>3.0</v>
      </c>
      <c r="AK12" s="51">
        <v>1.0</v>
      </c>
    </row>
    <row r="13">
      <c r="A13" s="48" t="s">
        <v>168</v>
      </c>
      <c r="B13" s="49" t="s">
        <v>174</v>
      </c>
      <c r="C13" s="55"/>
      <c r="D13" s="55"/>
      <c r="E13" s="35"/>
      <c r="F13" s="55"/>
      <c r="G13" s="35"/>
      <c r="H13" s="55" t="s">
        <v>216</v>
      </c>
      <c r="I13" s="55"/>
      <c r="J13" s="55"/>
      <c r="K13" s="55"/>
      <c r="L13" s="55"/>
      <c r="M13" s="55"/>
      <c r="N13" s="35"/>
      <c r="O13" s="55"/>
      <c r="P13" s="55"/>
      <c r="Q13" s="55" t="s">
        <v>216</v>
      </c>
      <c r="R13" s="55"/>
      <c r="S13" s="55"/>
      <c r="T13" s="55"/>
      <c r="U13" s="35"/>
      <c r="V13" s="55"/>
      <c r="W13" s="55"/>
      <c r="X13" s="55"/>
      <c r="Y13" s="55" t="s">
        <v>216</v>
      </c>
      <c r="Z13" s="55"/>
      <c r="AA13" s="35"/>
      <c r="AB13" s="35"/>
      <c r="AC13" s="35"/>
      <c r="AD13" s="35"/>
      <c r="AE13" s="35"/>
      <c r="AF13" s="35"/>
      <c r="AG13" s="50">
        <v>3.0</v>
      </c>
      <c r="AH13" s="50">
        <v>3.0</v>
      </c>
      <c r="AI13" s="50">
        <v>0.0</v>
      </c>
      <c r="AJ13" s="50">
        <v>3.0</v>
      </c>
      <c r="AK13" s="51">
        <v>1.0</v>
      </c>
    </row>
    <row r="14">
      <c r="A14" s="48" t="s">
        <v>173</v>
      </c>
      <c r="B14" s="49" t="s">
        <v>177</v>
      </c>
      <c r="C14" s="55"/>
      <c r="D14" s="55"/>
      <c r="E14" s="35"/>
      <c r="F14" s="55"/>
      <c r="G14" s="35"/>
      <c r="H14" s="55" t="s">
        <v>206</v>
      </c>
      <c r="I14" s="55"/>
      <c r="J14" s="55"/>
      <c r="K14" s="55"/>
      <c r="L14" s="55"/>
      <c r="M14" s="55"/>
      <c r="N14" s="35"/>
      <c r="O14" s="55"/>
      <c r="P14" s="55"/>
      <c r="Q14" s="55"/>
      <c r="R14" s="55"/>
      <c r="S14" s="55"/>
      <c r="T14" s="55"/>
      <c r="U14" s="35"/>
      <c r="V14" s="55"/>
      <c r="W14" s="55"/>
      <c r="X14" s="55"/>
      <c r="Y14" s="55"/>
      <c r="Z14" s="55"/>
      <c r="AA14" s="35"/>
      <c r="AB14" s="35"/>
      <c r="AC14" s="35"/>
      <c r="AD14" s="35"/>
      <c r="AE14" s="35"/>
      <c r="AF14" s="35"/>
      <c r="AG14" s="54">
        <v>0.0</v>
      </c>
      <c r="AH14" s="50">
        <v>0.0</v>
      </c>
      <c r="AI14" s="50">
        <v>0.0</v>
      </c>
      <c r="AJ14" s="50">
        <v>0.0</v>
      </c>
      <c r="AK14" s="51" t="s">
        <v>233</v>
      </c>
    </row>
    <row r="15">
      <c r="AG15" s="1"/>
    </row>
    <row r="16">
      <c r="AG16" s="1"/>
    </row>
    <row r="17">
      <c r="AG17" s="1"/>
    </row>
    <row r="18" ht="15.75" customHeight="1">
      <c r="AG18" s="1"/>
    </row>
    <row r="19" ht="15.75" customHeight="1">
      <c r="AG19" s="1"/>
    </row>
    <row r="20" ht="15.75" customHeight="1">
      <c r="AG20" s="1"/>
    </row>
    <row r="21" ht="15.75" customHeight="1">
      <c r="AG21" s="1"/>
    </row>
    <row r="22" ht="15.75" customHeight="1">
      <c r="AG22" s="1"/>
    </row>
    <row r="23" ht="15.75" customHeight="1">
      <c r="AG23" s="1"/>
    </row>
    <row r="24" ht="15.75" customHeight="1">
      <c r="AG24" s="1"/>
    </row>
    <row r="25" ht="15.75" customHeight="1">
      <c r="AG25" s="1"/>
    </row>
    <row r="26" ht="15.75" customHeight="1">
      <c r="AG26" s="1"/>
    </row>
    <row r="27" ht="15.75" customHeight="1">
      <c r="AG27" s="1"/>
    </row>
    <row r="28" ht="15.75" customHeight="1">
      <c r="AG28" s="1"/>
    </row>
    <row r="29" ht="15.75" customHeight="1">
      <c r="AG29" s="1"/>
    </row>
    <row r="30" ht="15.75" customHeight="1">
      <c r="AG30" s="1"/>
    </row>
    <row r="31" ht="15.75" customHeight="1">
      <c r="AG31" s="1"/>
    </row>
    <row r="32" ht="15.75" customHeight="1">
      <c r="AG32" s="1"/>
    </row>
    <row r="33" ht="15.75" customHeight="1">
      <c r="AG33" s="1"/>
    </row>
    <row r="34" ht="15.75" customHeight="1">
      <c r="AG34" s="1"/>
    </row>
    <row r="35" ht="15.75" customHeight="1">
      <c r="AG35" s="1"/>
    </row>
    <row r="36" ht="15.75" customHeight="1">
      <c r="AG36" s="1"/>
    </row>
    <row r="37" ht="15.75" customHeight="1">
      <c r="AG37" s="1"/>
    </row>
    <row r="38" ht="15.75" customHeight="1">
      <c r="AG38" s="1"/>
    </row>
    <row r="39" ht="15.75" customHeight="1">
      <c r="AG39" s="1"/>
    </row>
    <row r="40" ht="15.75" customHeight="1">
      <c r="AG40" s="1"/>
    </row>
    <row r="41" ht="15.75" customHeight="1">
      <c r="AG41" s="1"/>
    </row>
    <row r="42" ht="15.75" customHeight="1">
      <c r="AG42" s="1"/>
    </row>
    <row r="43" ht="15.75" customHeight="1">
      <c r="AG43" s="1"/>
    </row>
    <row r="44" ht="15.75" customHeight="1">
      <c r="AG44" s="1"/>
    </row>
    <row r="45" ht="15.75" customHeight="1">
      <c r="AG45" s="1"/>
    </row>
    <row r="46" ht="15.75" customHeight="1">
      <c r="AG46" s="1"/>
    </row>
    <row r="47" ht="15.75" customHeight="1">
      <c r="AG47" s="1"/>
    </row>
    <row r="48" ht="15.75" customHeight="1">
      <c r="AG48" s="1"/>
    </row>
    <row r="49" ht="15.75" customHeight="1">
      <c r="AG49" s="1"/>
    </row>
    <row r="50" ht="15.75" customHeight="1">
      <c r="AG50" s="1"/>
    </row>
    <row r="51" ht="15.75" customHeight="1">
      <c r="AG51" s="1"/>
    </row>
    <row r="52" ht="15.75" customHeight="1">
      <c r="AG52" s="1"/>
    </row>
    <row r="53" ht="15.75" customHeight="1">
      <c r="AG53" s="1"/>
    </row>
    <row r="54" ht="15.75" customHeight="1">
      <c r="AG54" s="1"/>
    </row>
    <row r="55" ht="15.75" customHeight="1">
      <c r="AG55" s="1"/>
    </row>
    <row r="56" ht="15.75" customHeight="1">
      <c r="AG56" s="1"/>
    </row>
    <row r="57" ht="15.75" customHeight="1">
      <c r="AG57" s="1"/>
    </row>
    <row r="58" ht="15.75" customHeight="1">
      <c r="AG58" s="1"/>
    </row>
    <row r="59" ht="15.75" customHeight="1">
      <c r="AG59" s="1"/>
    </row>
    <row r="60" ht="15.75" customHeight="1">
      <c r="AG60" s="1"/>
    </row>
    <row r="61" ht="15.75" customHeight="1">
      <c r="AG61" s="1"/>
    </row>
    <row r="62" ht="15.75" customHeight="1">
      <c r="AG62" s="1"/>
    </row>
    <row r="63" ht="15.75" customHeight="1">
      <c r="AG63" s="1"/>
    </row>
    <row r="64" ht="15.75" customHeight="1">
      <c r="AG64" s="1"/>
    </row>
    <row r="65" ht="15.75" customHeight="1">
      <c r="AG65" s="1"/>
    </row>
    <row r="66" ht="15.75" customHeight="1">
      <c r="AG66" s="1"/>
    </row>
    <row r="67" ht="15.75" customHeight="1">
      <c r="AG67" s="1"/>
    </row>
    <row r="68" ht="15.75" customHeight="1">
      <c r="AG68" s="1"/>
    </row>
    <row r="69" ht="15.75" customHeight="1">
      <c r="AG69" s="1"/>
    </row>
    <row r="70" ht="15.75" customHeight="1">
      <c r="AG70" s="1"/>
    </row>
    <row r="71" ht="15.75" customHeight="1">
      <c r="AG71" s="1"/>
    </row>
    <row r="72" ht="15.75" customHeight="1">
      <c r="AG72" s="1"/>
    </row>
    <row r="73" ht="15.75" customHeight="1">
      <c r="AG73" s="1"/>
    </row>
    <row r="74" ht="15.75" customHeight="1">
      <c r="AG74" s="1"/>
    </row>
    <row r="75" ht="15.75" customHeight="1">
      <c r="AG75" s="1"/>
    </row>
    <row r="76" ht="15.75" customHeight="1">
      <c r="AG76" s="1"/>
    </row>
    <row r="77" ht="15.75" customHeight="1">
      <c r="AG77" s="1"/>
    </row>
    <row r="78" ht="15.75" customHeight="1">
      <c r="AG78" s="1"/>
    </row>
    <row r="79" ht="15.75" customHeight="1">
      <c r="AG79" s="1"/>
    </row>
    <row r="80" ht="15.75" customHeight="1">
      <c r="AG80" s="1"/>
    </row>
    <row r="81" ht="15.75" customHeight="1">
      <c r="AG81" s="1"/>
    </row>
    <row r="82" ht="15.75" customHeight="1">
      <c r="AG82" s="1"/>
    </row>
    <row r="83" ht="15.75" customHeight="1">
      <c r="AG83" s="1"/>
    </row>
    <row r="84" ht="15.75" customHeight="1">
      <c r="AG84" s="1"/>
    </row>
    <row r="85" ht="15.75" customHeight="1">
      <c r="AG85" s="1"/>
    </row>
    <row r="86" ht="15.75" customHeight="1">
      <c r="AG86" s="1"/>
    </row>
    <row r="87" ht="15.75" customHeight="1">
      <c r="AG87" s="1"/>
    </row>
    <row r="88" ht="15.75" customHeight="1">
      <c r="AG88" s="1"/>
    </row>
    <row r="89" ht="15.75" customHeight="1">
      <c r="AG89" s="1"/>
    </row>
    <row r="90" ht="15.75" customHeight="1">
      <c r="AG90" s="1"/>
    </row>
    <row r="91" ht="15.75" customHeight="1">
      <c r="AG91" s="1"/>
    </row>
    <row r="92" ht="15.75" customHeight="1">
      <c r="AG92" s="1"/>
    </row>
    <row r="93" ht="15.75" customHeight="1">
      <c r="AG93" s="1"/>
    </row>
    <row r="94" ht="15.75" customHeight="1">
      <c r="AG94" s="1"/>
    </row>
    <row r="95" ht="15.75" customHeight="1">
      <c r="AG95" s="1"/>
    </row>
    <row r="96" ht="15.75" customHeight="1">
      <c r="AG96" s="1"/>
    </row>
    <row r="97" ht="15.75" customHeight="1">
      <c r="AG97" s="1"/>
    </row>
    <row r="98" ht="15.75" customHeight="1">
      <c r="AG98" s="1"/>
    </row>
    <row r="99" ht="15.75" customHeight="1">
      <c r="AG99" s="1"/>
    </row>
    <row r="100" ht="15.75" customHeight="1">
      <c r="AG100" s="1"/>
    </row>
    <row r="101" ht="15.75" customHeight="1">
      <c r="AG101" s="1"/>
    </row>
    <row r="102" ht="15.75" customHeight="1">
      <c r="AG102" s="1"/>
    </row>
    <row r="103" ht="15.75" customHeight="1">
      <c r="AG103" s="1"/>
    </row>
    <row r="104" ht="15.75" customHeight="1">
      <c r="AG104" s="1"/>
    </row>
    <row r="105" ht="15.75" customHeight="1">
      <c r="AG105" s="1"/>
    </row>
    <row r="106" ht="15.75" customHeight="1">
      <c r="AG106" s="1"/>
    </row>
    <row r="107" ht="15.75" customHeight="1">
      <c r="AG107" s="1"/>
    </row>
    <row r="108" ht="15.75" customHeight="1">
      <c r="AG108" s="1"/>
    </row>
    <row r="109" ht="15.75" customHeight="1">
      <c r="AG109" s="1"/>
    </row>
    <row r="110" ht="15.75" customHeight="1">
      <c r="AG110" s="1"/>
    </row>
    <row r="111" ht="15.75" customHeight="1">
      <c r="AG111" s="1"/>
    </row>
    <row r="112" ht="15.75" customHeight="1">
      <c r="AG112" s="1"/>
    </row>
    <row r="113" ht="15.75" customHeight="1">
      <c r="AG113" s="1"/>
    </row>
    <row r="114" ht="15.75" customHeight="1">
      <c r="AG114" s="1"/>
    </row>
    <row r="115" ht="15.75" customHeight="1">
      <c r="AG115" s="1"/>
    </row>
    <row r="116" ht="15.75" customHeight="1">
      <c r="AG116" s="1"/>
    </row>
    <row r="117" ht="15.75" customHeight="1">
      <c r="AG117" s="1"/>
    </row>
    <row r="118" ht="15.75" customHeight="1">
      <c r="AG118" s="1"/>
    </row>
    <row r="119" ht="15.75" customHeight="1">
      <c r="AG119" s="1"/>
    </row>
    <row r="120" ht="15.75" customHeight="1">
      <c r="AG120" s="1"/>
    </row>
    <row r="121" ht="15.75" customHeight="1">
      <c r="AG121" s="1"/>
    </row>
    <row r="122" ht="15.75" customHeight="1">
      <c r="AG122" s="1"/>
    </row>
    <row r="123" ht="15.75" customHeight="1">
      <c r="AG123" s="1"/>
    </row>
    <row r="124" ht="15.75" customHeight="1">
      <c r="AG124" s="1"/>
    </row>
    <row r="125" ht="15.75" customHeight="1">
      <c r="AG125" s="1"/>
    </row>
    <row r="126" ht="15.75" customHeight="1">
      <c r="AG126" s="1"/>
    </row>
    <row r="127" ht="15.75" customHeight="1">
      <c r="AG127" s="1"/>
    </row>
    <row r="128" ht="15.75" customHeight="1">
      <c r="AG128" s="1"/>
    </row>
    <row r="129" ht="15.75" customHeight="1">
      <c r="AG129" s="1"/>
    </row>
    <row r="130" ht="15.75" customHeight="1">
      <c r="AG130" s="1"/>
    </row>
    <row r="131" ht="15.75" customHeight="1">
      <c r="AG131" s="1"/>
    </row>
    <row r="132" ht="15.75" customHeight="1">
      <c r="AG132" s="1"/>
    </row>
    <row r="133" ht="15.75" customHeight="1">
      <c r="AG133" s="1"/>
    </row>
    <row r="134" ht="15.75" customHeight="1">
      <c r="AG134" s="1"/>
    </row>
    <row r="135" ht="15.75" customHeight="1">
      <c r="AG135" s="1"/>
    </row>
    <row r="136" ht="15.75" customHeight="1">
      <c r="AG136" s="1"/>
    </row>
    <row r="137" ht="15.75" customHeight="1">
      <c r="AG137" s="1"/>
    </row>
    <row r="138" ht="15.75" customHeight="1">
      <c r="AG138" s="1"/>
    </row>
    <row r="139" ht="15.75" customHeight="1">
      <c r="AG139" s="1"/>
    </row>
    <row r="140" ht="15.75" customHeight="1">
      <c r="AG140" s="1"/>
    </row>
    <row r="141" ht="15.75" customHeight="1">
      <c r="AG141" s="1"/>
    </row>
    <row r="142" ht="15.75" customHeight="1">
      <c r="AG142" s="1"/>
    </row>
    <row r="143" ht="15.75" customHeight="1">
      <c r="AG143" s="1"/>
    </row>
    <row r="144" ht="15.75" customHeight="1">
      <c r="AG144" s="1"/>
    </row>
    <row r="145" ht="15.75" customHeight="1">
      <c r="AG145" s="1"/>
    </row>
    <row r="146" ht="15.75" customHeight="1">
      <c r="AG146" s="1"/>
    </row>
    <row r="147" ht="15.75" customHeight="1">
      <c r="AG147" s="1"/>
    </row>
    <row r="148" ht="15.75" customHeight="1">
      <c r="AG148" s="1"/>
    </row>
    <row r="149" ht="15.75" customHeight="1">
      <c r="AG149" s="1"/>
    </row>
    <row r="150" ht="15.75" customHeight="1">
      <c r="AG150" s="1"/>
    </row>
    <row r="151" ht="15.75" customHeight="1">
      <c r="AG151" s="1"/>
    </row>
    <row r="152" ht="15.75" customHeight="1">
      <c r="AG152" s="1"/>
    </row>
    <row r="153" ht="15.75" customHeight="1">
      <c r="AG153" s="1"/>
    </row>
    <row r="154" ht="15.75" customHeight="1">
      <c r="AG154" s="1"/>
    </row>
    <row r="155" ht="15.75" customHeight="1">
      <c r="AG155" s="1"/>
    </row>
    <row r="156" ht="15.75" customHeight="1">
      <c r="AG156" s="1"/>
    </row>
    <row r="157" ht="15.75" customHeight="1">
      <c r="AG157" s="1"/>
    </row>
    <row r="158" ht="15.75" customHeight="1">
      <c r="AG158" s="1"/>
    </row>
    <row r="159" ht="15.75" customHeight="1">
      <c r="AG159" s="1"/>
    </row>
    <row r="160" ht="15.75" customHeight="1">
      <c r="AG160" s="1"/>
    </row>
    <row r="161" ht="15.75" customHeight="1">
      <c r="AG161" s="1"/>
    </row>
    <row r="162" ht="15.75" customHeight="1">
      <c r="AG162" s="1"/>
    </row>
    <row r="163" ht="15.75" customHeight="1">
      <c r="AG163" s="1"/>
    </row>
    <row r="164" ht="15.75" customHeight="1">
      <c r="AG164" s="1"/>
    </row>
    <row r="165" ht="15.75" customHeight="1">
      <c r="AG165" s="1"/>
    </row>
    <row r="166" ht="15.75" customHeight="1">
      <c r="AG166" s="1"/>
    </row>
    <row r="167" ht="15.75" customHeight="1">
      <c r="AG167" s="1"/>
    </row>
    <row r="168" ht="15.75" customHeight="1">
      <c r="AG168" s="1"/>
    </row>
    <row r="169" ht="15.75" customHeight="1">
      <c r="AG169" s="1"/>
    </row>
    <row r="170" ht="15.75" customHeight="1">
      <c r="AG170" s="1"/>
    </row>
    <row r="171" ht="15.75" customHeight="1">
      <c r="AG171" s="1"/>
    </row>
    <row r="172" ht="15.75" customHeight="1">
      <c r="AG172" s="1"/>
    </row>
    <row r="173" ht="15.75" customHeight="1">
      <c r="AG173" s="1"/>
    </row>
    <row r="174" ht="15.75" customHeight="1">
      <c r="AG174" s="1"/>
    </row>
    <row r="175" ht="15.75" customHeight="1">
      <c r="AG175" s="1"/>
    </row>
    <row r="176" ht="15.75" customHeight="1">
      <c r="AG176" s="1"/>
    </row>
    <row r="177" ht="15.75" customHeight="1">
      <c r="AG177" s="1"/>
    </row>
    <row r="178" ht="15.75" customHeight="1">
      <c r="AG178" s="1"/>
    </row>
    <row r="179" ht="15.75" customHeight="1">
      <c r="AG179" s="1"/>
    </row>
    <row r="180" ht="15.75" customHeight="1">
      <c r="AG180" s="1"/>
    </row>
    <row r="181" ht="15.75" customHeight="1">
      <c r="AG181" s="1"/>
    </row>
    <row r="182" ht="15.75" customHeight="1">
      <c r="AG182" s="1"/>
    </row>
    <row r="183" ht="15.75" customHeight="1">
      <c r="AG183" s="1"/>
    </row>
    <row r="184" ht="15.75" customHeight="1">
      <c r="AG184" s="1"/>
    </row>
    <row r="185" ht="15.75" customHeight="1">
      <c r="AG185" s="1"/>
    </row>
    <row r="186" ht="15.75" customHeight="1">
      <c r="AG186" s="1"/>
    </row>
    <row r="187" ht="15.75" customHeight="1">
      <c r="AG187" s="1"/>
    </row>
    <row r="188" ht="15.75" customHeight="1">
      <c r="AG188" s="1"/>
    </row>
    <row r="189" ht="15.75" customHeight="1">
      <c r="AG189" s="1"/>
    </row>
    <row r="190" ht="15.75" customHeight="1">
      <c r="AG190" s="1"/>
    </row>
    <row r="191" ht="15.75" customHeight="1">
      <c r="AG191" s="1"/>
    </row>
    <row r="192" ht="15.75" customHeight="1">
      <c r="AG192" s="1"/>
    </row>
    <row r="193" ht="15.75" customHeight="1">
      <c r="AG193" s="1"/>
    </row>
    <row r="194" ht="15.75" customHeight="1">
      <c r="AG194" s="1"/>
    </row>
    <row r="195" ht="15.75" customHeight="1">
      <c r="AG195" s="1"/>
    </row>
    <row r="196" ht="15.75" customHeight="1">
      <c r="AG196" s="1"/>
    </row>
    <row r="197" ht="15.75" customHeight="1">
      <c r="AG197" s="1"/>
    </row>
    <row r="198" ht="15.75" customHeight="1">
      <c r="AG198" s="1"/>
    </row>
    <row r="199" ht="15.75" customHeight="1">
      <c r="AG199" s="1"/>
    </row>
    <row r="200" ht="15.75" customHeight="1">
      <c r="AG200" s="1"/>
    </row>
    <row r="201" ht="15.75" customHeight="1">
      <c r="AG201" s="1"/>
    </row>
    <row r="202" ht="15.75" customHeight="1">
      <c r="AG202" s="1"/>
    </row>
    <row r="203" ht="15.75" customHeight="1">
      <c r="AG203" s="1"/>
    </row>
    <row r="204" ht="15.75" customHeight="1">
      <c r="AG204" s="1"/>
    </row>
    <row r="205" ht="15.75" customHeight="1">
      <c r="AG205" s="1"/>
    </row>
    <row r="206" ht="15.75" customHeight="1">
      <c r="AG206" s="1"/>
    </row>
    <row r="207" ht="15.75" customHeight="1">
      <c r="AG207" s="1"/>
    </row>
    <row r="208" ht="15.75" customHeight="1">
      <c r="AG208" s="1"/>
    </row>
    <row r="209" ht="15.75" customHeight="1">
      <c r="AG209" s="1"/>
    </row>
    <row r="210" ht="15.75" customHeight="1">
      <c r="AG210" s="1"/>
    </row>
    <row r="211" ht="15.75" customHeight="1">
      <c r="AG211" s="1"/>
    </row>
    <row r="212" ht="15.75" customHeight="1">
      <c r="AG212" s="1"/>
    </row>
    <row r="213" ht="15.75" customHeight="1">
      <c r="AG213" s="1"/>
    </row>
    <row r="214" ht="15.75" customHeight="1">
      <c r="AG214" s="1"/>
    </row>
    <row r="215" ht="15.75" customHeight="1">
      <c r="AG215" s="1"/>
    </row>
    <row r="216" ht="15.75" customHeight="1">
      <c r="AG216" s="1"/>
    </row>
    <row r="217" ht="15.75" customHeight="1">
      <c r="AG217" s="1"/>
    </row>
    <row r="218" ht="15.75" customHeight="1">
      <c r="AG218" s="1"/>
    </row>
    <row r="219" ht="15.75" customHeight="1">
      <c r="AG219" s="1"/>
    </row>
    <row r="220" ht="15.75" customHeight="1">
      <c r="AG220" s="1"/>
    </row>
    <row r="221" ht="15.75" customHeight="1">
      <c r="AG221" s="1"/>
    </row>
    <row r="222" ht="15.75" customHeight="1">
      <c r="AG222" s="1"/>
    </row>
    <row r="223" ht="15.75" customHeight="1">
      <c r="AG223" s="1"/>
    </row>
    <row r="224" ht="15.75" customHeight="1">
      <c r="AG224" s="1"/>
    </row>
    <row r="225" ht="15.75" customHeight="1">
      <c r="AG225" s="1"/>
    </row>
    <row r="226" ht="15.75" customHeight="1">
      <c r="AG226" s="1"/>
    </row>
    <row r="227" ht="15.75" customHeight="1">
      <c r="AG227" s="1"/>
    </row>
    <row r="228" ht="15.75" customHeight="1">
      <c r="AG228" s="1"/>
    </row>
    <row r="229" ht="15.75" customHeight="1">
      <c r="AG229" s="1"/>
    </row>
    <row r="230" ht="15.75" customHeight="1">
      <c r="AG230" s="1"/>
    </row>
    <row r="231" ht="15.75" customHeight="1">
      <c r="AG231" s="1"/>
    </row>
    <row r="232" ht="15.75" customHeight="1">
      <c r="AG232" s="1"/>
    </row>
    <row r="233" ht="15.75" customHeight="1">
      <c r="AG233" s="1"/>
    </row>
    <row r="234" ht="15.75" customHeight="1">
      <c r="AG234" s="1"/>
    </row>
    <row r="235" ht="15.75" customHeight="1">
      <c r="AG235" s="1"/>
    </row>
    <row r="236" ht="15.75" customHeight="1">
      <c r="AG236" s="1"/>
    </row>
    <row r="237" ht="15.75" customHeight="1">
      <c r="AG237" s="1"/>
    </row>
    <row r="238" ht="15.75" customHeight="1">
      <c r="AG238" s="1"/>
    </row>
    <row r="239" ht="15.75" customHeight="1">
      <c r="AG239" s="1"/>
    </row>
    <row r="240" ht="15.75" customHeight="1">
      <c r="AG240" s="1"/>
    </row>
    <row r="241" ht="15.75" customHeight="1">
      <c r="AG241" s="1"/>
    </row>
    <row r="242" ht="15.75" customHeight="1">
      <c r="AG242" s="1"/>
    </row>
    <row r="243" ht="15.75" customHeight="1">
      <c r="AG243" s="1"/>
    </row>
    <row r="244" ht="15.75" customHeight="1">
      <c r="AG244" s="1"/>
    </row>
    <row r="245" ht="15.75" customHeight="1">
      <c r="AG245" s="1"/>
    </row>
    <row r="246" ht="15.75" customHeight="1">
      <c r="AG246" s="1"/>
    </row>
    <row r="247" ht="15.75" customHeight="1">
      <c r="AG247" s="1"/>
    </row>
    <row r="248" ht="15.75" customHeight="1">
      <c r="AG248" s="1"/>
    </row>
    <row r="249" ht="15.75" customHeight="1">
      <c r="AG249" s="1"/>
    </row>
    <row r="250" ht="15.75" customHeight="1">
      <c r="AG250" s="1"/>
    </row>
    <row r="251" ht="15.75" customHeight="1">
      <c r="AG251" s="1"/>
    </row>
    <row r="252" ht="15.75" customHeight="1">
      <c r="AG252" s="1"/>
    </row>
    <row r="253" ht="15.75" customHeight="1">
      <c r="AG253" s="1"/>
    </row>
    <row r="254" ht="15.75" customHeight="1">
      <c r="AG254" s="1"/>
    </row>
    <row r="255" ht="15.75" customHeight="1">
      <c r="AG255" s="1"/>
    </row>
    <row r="256" ht="15.75" customHeight="1">
      <c r="AG256" s="1"/>
    </row>
    <row r="257" ht="15.75" customHeight="1">
      <c r="AG257" s="1"/>
    </row>
    <row r="258" ht="15.75" customHeight="1">
      <c r="AG258" s="1"/>
    </row>
    <row r="259" ht="15.75" customHeight="1">
      <c r="AG259" s="1"/>
    </row>
    <row r="260" ht="15.75" customHeight="1">
      <c r="AG260" s="1"/>
    </row>
    <row r="261" ht="15.75" customHeight="1">
      <c r="AG261" s="1"/>
    </row>
    <row r="262" ht="15.75" customHeight="1">
      <c r="AG262" s="1"/>
    </row>
    <row r="263" ht="15.75" customHeight="1">
      <c r="AG263" s="1"/>
    </row>
    <row r="264" ht="15.75" customHeight="1">
      <c r="AG264" s="1"/>
    </row>
    <row r="265" ht="15.75" customHeight="1">
      <c r="AG265" s="1"/>
    </row>
    <row r="266" ht="15.75" customHeight="1">
      <c r="AG266" s="1"/>
    </row>
    <row r="267" ht="15.75" customHeight="1">
      <c r="AG267" s="1"/>
    </row>
    <row r="268" ht="15.75" customHeight="1">
      <c r="AG268" s="1"/>
    </row>
    <row r="269" ht="15.75" customHeight="1">
      <c r="AG269" s="1"/>
    </row>
    <row r="270" ht="15.75" customHeight="1">
      <c r="AG270" s="1"/>
    </row>
    <row r="271" ht="15.75" customHeight="1">
      <c r="AG271" s="1"/>
    </row>
    <row r="272" ht="15.75" customHeight="1">
      <c r="AG272" s="1"/>
    </row>
    <row r="273" ht="15.75" customHeight="1">
      <c r="AG273" s="1"/>
    </row>
    <row r="274" ht="15.75" customHeight="1">
      <c r="AG274" s="1"/>
    </row>
    <row r="275" ht="15.75" customHeight="1">
      <c r="AG275" s="1"/>
    </row>
    <row r="276" ht="15.75" customHeight="1">
      <c r="AG276" s="1"/>
    </row>
    <row r="277" ht="15.75" customHeight="1">
      <c r="AG277" s="1"/>
    </row>
    <row r="278" ht="15.75" customHeight="1">
      <c r="AG278" s="1"/>
    </row>
    <row r="279" ht="15.75" customHeight="1">
      <c r="AG279" s="1"/>
    </row>
    <row r="280" ht="15.75" customHeight="1">
      <c r="AG280" s="1"/>
    </row>
    <row r="281" ht="15.75" customHeight="1">
      <c r="AG281" s="1"/>
    </row>
    <row r="282" ht="15.75" customHeight="1">
      <c r="AG282" s="1"/>
    </row>
    <row r="283" ht="15.75" customHeight="1">
      <c r="AG283" s="1"/>
    </row>
    <row r="284" ht="15.75" customHeight="1">
      <c r="AG284" s="1"/>
    </row>
    <row r="285" ht="15.75" customHeight="1">
      <c r="AG285" s="1"/>
    </row>
    <row r="286" ht="15.75" customHeight="1">
      <c r="AG286" s="1"/>
    </row>
    <row r="287" ht="15.75" customHeight="1">
      <c r="AG287" s="1"/>
    </row>
    <row r="288" ht="15.75" customHeight="1">
      <c r="AG288" s="1"/>
    </row>
    <row r="289" ht="15.75" customHeight="1">
      <c r="AG289" s="1"/>
    </row>
    <row r="290" ht="15.75" customHeight="1">
      <c r="AG290" s="1"/>
    </row>
    <row r="291" ht="15.75" customHeight="1">
      <c r="AG291" s="1"/>
    </row>
    <row r="292" ht="15.75" customHeight="1">
      <c r="AG292" s="1"/>
    </row>
    <row r="293" ht="15.75" customHeight="1">
      <c r="AG293" s="1"/>
    </row>
    <row r="294" ht="15.75" customHeight="1">
      <c r="AG294" s="1"/>
    </row>
    <row r="295" ht="15.75" customHeight="1">
      <c r="AG295" s="1"/>
    </row>
    <row r="296" ht="15.75" customHeight="1">
      <c r="AG296" s="1"/>
    </row>
    <row r="297" ht="15.75" customHeight="1">
      <c r="AG297" s="1"/>
    </row>
    <row r="298" ht="15.75" customHeight="1">
      <c r="AG298" s="1"/>
    </row>
    <row r="299" ht="15.75" customHeight="1">
      <c r="AG299" s="1"/>
    </row>
    <row r="300" ht="15.75" customHeight="1">
      <c r="AG300" s="1"/>
    </row>
    <row r="301" ht="15.75" customHeight="1">
      <c r="AG301" s="1"/>
    </row>
    <row r="302" ht="15.75" customHeight="1">
      <c r="AG302" s="1"/>
    </row>
    <row r="303" ht="15.75" customHeight="1">
      <c r="AG303" s="1"/>
    </row>
    <row r="304" ht="15.75" customHeight="1">
      <c r="AG304" s="1"/>
    </row>
    <row r="305" ht="15.75" customHeight="1">
      <c r="AG305" s="1"/>
    </row>
    <row r="306" ht="15.75" customHeight="1">
      <c r="AG306" s="1"/>
    </row>
    <row r="307" ht="15.75" customHeight="1">
      <c r="AG307" s="1"/>
    </row>
    <row r="308" ht="15.75" customHeight="1">
      <c r="AG308" s="1"/>
    </row>
    <row r="309" ht="15.75" customHeight="1">
      <c r="AG309" s="1"/>
    </row>
    <row r="310" ht="15.75" customHeight="1">
      <c r="AG310" s="1"/>
    </row>
    <row r="311" ht="15.75" customHeight="1">
      <c r="AG311" s="1"/>
    </row>
    <row r="312" ht="15.75" customHeight="1">
      <c r="AG312" s="1"/>
    </row>
    <row r="313" ht="15.75" customHeight="1">
      <c r="AG313" s="1"/>
    </row>
    <row r="314" ht="15.75" customHeight="1">
      <c r="AG314" s="1"/>
    </row>
    <row r="315" ht="15.75" customHeight="1">
      <c r="AG315" s="1"/>
    </row>
    <row r="316" ht="15.75" customHeight="1">
      <c r="AG316" s="1"/>
    </row>
    <row r="317" ht="15.75" customHeight="1">
      <c r="AG317" s="1"/>
    </row>
    <row r="318" ht="15.75" customHeight="1">
      <c r="AG318" s="1"/>
    </row>
    <row r="319" ht="15.75" customHeight="1">
      <c r="AG319" s="1"/>
    </row>
    <row r="320" ht="15.75" customHeight="1">
      <c r="AG320" s="1"/>
    </row>
    <row r="321" ht="15.75" customHeight="1">
      <c r="AG321" s="1"/>
    </row>
    <row r="322" ht="15.75" customHeight="1">
      <c r="AG322" s="1"/>
    </row>
    <row r="323" ht="15.75" customHeight="1">
      <c r="AG323" s="1"/>
    </row>
    <row r="324" ht="15.75" customHeight="1">
      <c r="AG324" s="1"/>
    </row>
    <row r="325" ht="15.75" customHeight="1">
      <c r="AG325" s="1"/>
    </row>
    <row r="326" ht="15.75" customHeight="1">
      <c r="AG326" s="1"/>
    </row>
    <row r="327" ht="15.75" customHeight="1">
      <c r="AG327" s="1"/>
    </row>
    <row r="328" ht="15.75" customHeight="1">
      <c r="AG328" s="1"/>
    </row>
    <row r="329" ht="15.75" customHeight="1">
      <c r="AG329" s="1"/>
    </row>
    <row r="330" ht="15.75" customHeight="1">
      <c r="AG330" s="1"/>
    </row>
    <row r="331" ht="15.75" customHeight="1">
      <c r="AG331" s="1"/>
    </row>
    <row r="332" ht="15.75" customHeight="1">
      <c r="AG332" s="1"/>
    </row>
    <row r="333" ht="15.75" customHeight="1">
      <c r="AG333" s="1"/>
    </row>
    <row r="334" ht="15.75" customHeight="1">
      <c r="AG334" s="1"/>
    </row>
    <row r="335" ht="15.75" customHeight="1">
      <c r="AG335" s="1"/>
    </row>
    <row r="336" ht="15.75" customHeight="1">
      <c r="AG336" s="1"/>
    </row>
    <row r="337" ht="15.75" customHeight="1">
      <c r="AG337" s="1"/>
    </row>
    <row r="338" ht="15.75" customHeight="1">
      <c r="AG338" s="1"/>
    </row>
    <row r="339" ht="15.75" customHeight="1">
      <c r="AG339" s="1"/>
    </row>
    <row r="340" ht="15.75" customHeight="1">
      <c r="AG340" s="1"/>
    </row>
    <row r="341" ht="15.75" customHeight="1">
      <c r="AG341" s="1"/>
    </row>
    <row r="342" ht="15.75" customHeight="1">
      <c r="AG342" s="1"/>
    </row>
    <row r="343" ht="15.75" customHeight="1">
      <c r="AG343" s="1"/>
    </row>
    <row r="344" ht="15.75" customHeight="1">
      <c r="AG344" s="1"/>
    </row>
    <row r="345" ht="15.75" customHeight="1">
      <c r="AG345" s="1"/>
    </row>
    <row r="346" ht="15.75" customHeight="1">
      <c r="AG346" s="1"/>
    </row>
    <row r="347" ht="15.75" customHeight="1">
      <c r="AG347" s="1"/>
    </row>
    <row r="348" ht="15.75" customHeight="1">
      <c r="AG348" s="1"/>
    </row>
    <row r="349" ht="15.75" customHeight="1">
      <c r="AG349" s="1"/>
    </row>
    <row r="350" ht="15.75" customHeight="1">
      <c r="AG350" s="1"/>
    </row>
    <row r="351" ht="15.75" customHeight="1">
      <c r="AG351" s="1"/>
    </row>
    <row r="352" ht="15.75" customHeight="1">
      <c r="AG352" s="1"/>
    </row>
    <row r="353" ht="15.75" customHeight="1">
      <c r="AG353" s="1"/>
    </row>
    <row r="354" ht="15.75" customHeight="1">
      <c r="AG354" s="1"/>
    </row>
    <row r="355" ht="15.75" customHeight="1">
      <c r="AG355" s="1"/>
    </row>
    <row r="356" ht="15.75" customHeight="1">
      <c r="AG356" s="1"/>
    </row>
    <row r="357" ht="15.75" customHeight="1">
      <c r="AG357" s="1"/>
    </row>
    <row r="358" ht="15.75" customHeight="1">
      <c r="AG358" s="1"/>
    </row>
    <row r="359" ht="15.75" customHeight="1">
      <c r="AG359" s="1"/>
    </row>
    <row r="360" ht="15.75" customHeight="1">
      <c r="AG360" s="1"/>
    </row>
    <row r="361" ht="15.75" customHeight="1">
      <c r="AG361" s="1"/>
    </row>
    <row r="362" ht="15.75" customHeight="1">
      <c r="AG362" s="1"/>
    </row>
    <row r="363" ht="15.75" customHeight="1">
      <c r="AG363" s="1"/>
    </row>
    <row r="364" ht="15.75" customHeight="1">
      <c r="AG364" s="1"/>
    </row>
    <row r="365" ht="15.75" customHeight="1">
      <c r="AG365" s="1"/>
    </row>
    <row r="366" ht="15.75" customHeight="1">
      <c r="AG366" s="1"/>
    </row>
    <row r="367" ht="15.75" customHeight="1">
      <c r="AG367" s="1"/>
    </row>
    <row r="368" ht="15.75" customHeight="1">
      <c r="AG368" s="1"/>
    </row>
    <row r="369" ht="15.75" customHeight="1">
      <c r="AG369" s="1"/>
    </row>
    <row r="370" ht="15.75" customHeight="1">
      <c r="AG370" s="1"/>
    </row>
    <row r="371" ht="15.75" customHeight="1">
      <c r="AG371" s="1"/>
    </row>
    <row r="372" ht="15.75" customHeight="1">
      <c r="AG372" s="1"/>
    </row>
    <row r="373" ht="15.75" customHeight="1">
      <c r="AG373" s="1"/>
    </row>
    <row r="374" ht="15.75" customHeight="1">
      <c r="AG374" s="1"/>
    </row>
    <row r="375" ht="15.75" customHeight="1">
      <c r="AG375" s="1"/>
    </row>
    <row r="376" ht="15.75" customHeight="1">
      <c r="AG376" s="1"/>
    </row>
    <row r="377" ht="15.75" customHeight="1">
      <c r="AG377" s="1"/>
    </row>
    <row r="378" ht="15.75" customHeight="1">
      <c r="AG378" s="1"/>
    </row>
    <row r="379" ht="15.75" customHeight="1">
      <c r="AG379" s="1"/>
    </row>
    <row r="380" ht="15.75" customHeight="1">
      <c r="AG380" s="1"/>
    </row>
    <row r="381" ht="15.75" customHeight="1">
      <c r="AG381" s="1"/>
    </row>
    <row r="382" ht="15.75" customHeight="1">
      <c r="AG382" s="1"/>
    </row>
    <row r="383" ht="15.75" customHeight="1">
      <c r="AG383" s="1"/>
    </row>
    <row r="384" ht="15.75" customHeight="1">
      <c r="AG384" s="1"/>
    </row>
    <row r="385" ht="15.75" customHeight="1">
      <c r="AG385" s="1"/>
    </row>
    <row r="386" ht="15.75" customHeight="1">
      <c r="AG386" s="1"/>
    </row>
    <row r="387" ht="15.75" customHeight="1">
      <c r="AG387" s="1"/>
    </row>
    <row r="388" ht="15.75" customHeight="1">
      <c r="AG388" s="1"/>
    </row>
    <row r="389" ht="15.75" customHeight="1">
      <c r="AG389" s="1"/>
    </row>
    <row r="390" ht="15.75" customHeight="1">
      <c r="AG390" s="1"/>
    </row>
    <row r="391" ht="15.75" customHeight="1">
      <c r="AG391" s="1"/>
    </row>
    <row r="392" ht="15.75" customHeight="1">
      <c r="AG392" s="1"/>
    </row>
    <row r="393" ht="15.75" customHeight="1">
      <c r="AG393" s="1"/>
    </row>
    <row r="394" ht="15.75" customHeight="1">
      <c r="AG394" s="1"/>
    </row>
    <row r="395" ht="15.75" customHeight="1">
      <c r="AG395" s="1"/>
    </row>
    <row r="396" ht="15.75" customHeight="1">
      <c r="AG396" s="1"/>
    </row>
    <row r="397" ht="15.75" customHeight="1">
      <c r="AG397" s="1"/>
    </row>
    <row r="398" ht="15.75" customHeight="1">
      <c r="AG398" s="1"/>
    </row>
    <row r="399" ht="15.75" customHeight="1">
      <c r="AG399" s="1"/>
    </row>
    <row r="400" ht="15.75" customHeight="1">
      <c r="AG400" s="1"/>
    </row>
    <row r="401" ht="15.75" customHeight="1">
      <c r="AG401" s="1"/>
    </row>
    <row r="402" ht="15.75" customHeight="1">
      <c r="AG402" s="1"/>
    </row>
    <row r="403" ht="15.75" customHeight="1">
      <c r="AG403" s="1"/>
    </row>
    <row r="404" ht="15.75" customHeight="1">
      <c r="AG404" s="1"/>
    </row>
    <row r="405" ht="15.75" customHeight="1">
      <c r="AG405" s="1"/>
    </row>
    <row r="406" ht="15.75" customHeight="1">
      <c r="AG406" s="1"/>
    </row>
    <row r="407" ht="15.75" customHeight="1">
      <c r="AG407" s="1"/>
    </row>
    <row r="408" ht="15.75" customHeight="1">
      <c r="AG408" s="1"/>
    </row>
    <row r="409" ht="15.75" customHeight="1">
      <c r="AG409" s="1"/>
    </row>
    <row r="410" ht="15.75" customHeight="1">
      <c r="AG410" s="1"/>
    </row>
    <row r="411" ht="15.75" customHeight="1">
      <c r="AG411" s="1"/>
    </row>
    <row r="412" ht="15.75" customHeight="1">
      <c r="AG412" s="1"/>
    </row>
    <row r="413" ht="15.75" customHeight="1">
      <c r="AG413" s="1"/>
    </row>
    <row r="414" ht="15.75" customHeight="1">
      <c r="AG414" s="1"/>
    </row>
    <row r="415" ht="15.75" customHeight="1">
      <c r="AG415" s="1"/>
    </row>
    <row r="416" ht="15.75" customHeight="1">
      <c r="AG416" s="1"/>
    </row>
    <row r="417" ht="15.75" customHeight="1">
      <c r="AG417" s="1"/>
    </row>
    <row r="418" ht="15.75" customHeight="1">
      <c r="AG418" s="1"/>
    </row>
    <row r="419" ht="15.75" customHeight="1">
      <c r="AG419" s="1"/>
    </row>
    <row r="420" ht="15.75" customHeight="1">
      <c r="AG420" s="1"/>
    </row>
    <row r="421" ht="15.75" customHeight="1">
      <c r="AG421" s="1"/>
    </row>
    <row r="422" ht="15.75" customHeight="1">
      <c r="AG422" s="1"/>
    </row>
    <row r="423" ht="15.75" customHeight="1">
      <c r="AG423" s="1"/>
    </row>
    <row r="424" ht="15.75" customHeight="1">
      <c r="AG424" s="1"/>
    </row>
    <row r="425" ht="15.75" customHeight="1">
      <c r="AG425" s="1"/>
    </row>
    <row r="426" ht="15.75" customHeight="1">
      <c r="AG426" s="1"/>
    </row>
    <row r="427" ht="15.75" customHeight="1">
      <c r="AG427" s="1"/>
    </row>
    <row r="428" ht="15.75" customHeight="1">
      <c r="AG428" s="1"/>
    </row>
    <row r="429" ht="15.75" customHeight="1">
      <c r="AG429" s="1"/>
    </row>
    <row r="430" ht="15.75" customHeight="1">
      <c r="AG430" s="1"/>
    </row>
    <row r="431" ht="15.75" customHeight="1">
      <c r="AG431" s="1"/>
    </row>
    <row r="432" ht="15.75" customHeight="1">
      <c r="AG432" s="1"/>
    </row>
    <row r="433" ht="15.75" customHeight="1">
      <c r="AG433" s="1"/>
    </row>
    <row r="434" ht="15.75" customHeight="1">
      <c r="AG434" s="1"/>
    </row>
    <row r="435" ht="15.75" customHeight="1">
      <c r="AG435" s="1"/>
    </row>
    <row r="436" ht="15.75" customHeight="1">
      <c r="AG436" s="1"/>
    </row>
    <row r="437" ht="15.75" customHeight="1">
      <c r="AG437" s="1"/>
    </row>
    <row r="438" ht="15.75" customHeight="1">
      <c r="AG438" s="1"/>
    </row>
    <row r="439" ht="15.75" customHeight="1">
      <c r="AG439" s="1"/>
    </row>
    <row r="440" ht="15.75" customHeight="1">
      <c r="AG440" s="1"/>
    </row>
    <row r="441" ht="15.75" customHeight="1">
      <c r="AG441" s="1"/>
    </row>
    <row r="442" ht="15.75" customHeight="1">
      <c r="AG442" s="1"/>
    </row>
    <row r="443" ht="15.75" customHeight="1">
      <c r="AG443" s="1"/>
    </row>
    <row r="444" ht="15.75" customHeight="1">
      <c r="AG444" s="1"/>
    </row>
    <row r="445" ht="15.75" customHeight="1">
      <c r="AG445" s="1"/>
    </row>
    <row r="446" ht="15.75" customHeight="1">
      <c r="AG446" s="1"/>
    </row>
    <row r="447" ht="15.75" customHeight="1">
      <c r="AG447" s="1"/>
    </row>
    <row r="448" ht="15.75" customHeight="1">
      <c r="AG448" s="1"/>
    </row>
    <row r="449" ht="15.75" customHeight="1">
      <c r="AG449" s="1"/>
    </row>
    <row r="450" ht="15.75" customHeight="1">
      <c r="AG450" s="1"/>
    </row>
    <row r="451" ht="15.75" customHeight="1">
      <c r="AG451" s="1"/>
    </row>
    <row r="452" ht="15.75" customHeight="1">
      <c r="AG452" s="1"/>
    </row>
    <row r="453" ht="15.75" customHeight="1">
      <c r="AG453" s="1"/>
    </row>
    <row r="454" ht="15.75" customHeight="1">
      <c r="AG454" s="1"/>
    </row>
    <row r="455" ht="15.75" customHeight="1">
      <c r="AG455" s="1"/>
    </row>
    <row r="456" ht="15.75" customHeight="1">
      <c r="AG456" s="1"/>
    </row>
    <row r="457" ht="15.75" customHeight="1">
      <c r="AG457" s="1"/>
    </row>
    <row r="458" ht="15.75" customHeight="1">
      <c r="AG458" s="1"/>
    </row>
    <row r="459" ht="15.75" customHeight="1">
      <c r="AG459" s="1"/>
    </row>
    <row r="460" ht="15.75" customHeight="1">
      <c r="AG460" s="1"/>
    </row>
    <row r="461" ht="15.75" customHeight="1">
      <c r="AG461" s="1"/>
    </row>
    <row r="462" ht="15.75" customHeight="1">
      <c r="AG462" s="1"/>
    </row>
    <row r="463" ht="15.75" customHeight="1">
      <c r="AG463" s="1"/>
    </row>
    <row r="464" ht="15.75" customHeight="1">
      <c r="AG464" s="1"/>
    </row>
    <row r="465" ht="15.75" customHeight="1">
      <c r="AG465" s="1"/>
    </row>
    <row r="466" ht="15.75" customHeight="1">
      <c r="AG466" s="1"/>
    </row>
    <row r="467" ht="15.75" customHeight="1">
      <c r="AG467" s="1"/>
    </row>
    <row r="468" ht="15.75" customHeight="1">
      <c r="AG468" s="1"/>
    </row>
    <row r="469" ht="15.75" customHeight="1">
      <c r="AG469" s="1"/>
    </row>
    <row r="470" ht="15.75" customHeight="1">
      <c r="AG470" s="1"/>
    </row>
    <row r="471" ht="15.75" customHeight="1">
      <c r="AG471" s="1"/>
    </row>
    <row r="472" ht="15.75" customHeight="1">
      <c r="AG472" s="1"/>
    </row>
    <row r="473" ht="15.75" customHeight="1">
      <c r="AG473" s="1"/>
    </row>
    <row r="474" ht="15.75" customHeight="1">
      <c r="AG474" s="1"/>
    </row>
    <row r="475" ht="15.75" customHeight="1">
      <c r="AG475" s="1"/>
    </row>
    <row r="476" ht="15.75" customHeight="1">
      <c r="AG476" s="1"/>
    </row>
    <row r="477" ht="15.75" customHeight="1">
      <c r="AG477" s="1"/>
    </row>
    <row r="478" ht="15.75" customHeight="1">
      <c r="AG478" s="1"/>
    </row>
    <row r="479" ht="15.75" customHeight="1">
      <c r="AG479" s="1"/>
    </row>
    <row r="480" ht="15.75" customHeight="1">
      <c r="AG480" s="1"/>
    </row>
    <row r="481" ht="15.75" customHeight="1">
      <c r="AG481" s="1"/>
    </row>
    <row r="482" ht="15.75" customHeight="1">
      <c r="AG482" s="1"/>
    </row>
    <row r="483" ht="15.75" customHeight="1">
      <c r="AG483" s="1"/>
    </row>
    <row r="484" ht="15.75" customHeight="1">
      <c r="AG484" s="1"/>
    </row>
    <row r="485" ht="15.75" customHeight="1">
      <c r="AG485" s="1"/>
    </row>
    <row r="486" ht="15.75" customHeight="1">
      <c r="AG486" s="1"/>
    </row>
    <row r="487" ht="15.75" customHeight="1">
      <c r="AG487" s="1"/>
    </row>
    <row r="488" ht="15.75" customHeight="1">
      <c r="AG488" s="1"/>
    </row>
    <row r="489" ht="15.75" customHeight="1">
      <c r="AG489" s="1"/>
    </row>
    <row r="490" ht="15.75" customHeight="1">
      <c r="AG490" s="1"/>
    </row>
    <row r="491" ht="15.75" customHeight="1">
      <c r="AG491" s="1"/>
    </row>
    <row r="492" ht="15.75" customHeight="1">
      <c r="AG492" s="1"/>
    </row>
    <row r="493" ht="15.75" customHeight="1">
      <c r="AG493" s="1"/>
    </row>
    <row r="494" ht="15.75" customHeight="1">
      <c r="AG494" s="1"/>
    </row>
    <row r="495" ht="15.75" customHeight="1">
      <c r="AG495" s="1"/>
    </row>
    <row r="496" ht="15.75" customHeight="1">
      <c r="AG496" s="1"/>
    </row>
    <row r="497" ht="15.75" customHeight="1">
      <c r="AG497" s="1"/>
    </row>
    <row r="498" ht="15.75" customHeight="1">
      <c r="AG498" s="1"/>
    </row>
    <row r="499" ht="15.75" customHeight="1">
      <c r="AG499" s="1"/>
    </row>
    <row r="500" ht="15.75" customHeight="1">
      <c r="AG500" s="1"/>
    </row>
    <row r="501" ht="15.75" customHeight="1">
      <c r="AG501" s="1"/>
    </row>
    <row r="502" ht="15.75" customHeight="1">
      <c r="AG502" s="1"/>
    </row>
    <row r="503" ht="15.75" customHeight="1">
      <c r="AG503" s="1"/>
    </row>
    <row r="504" ht="15.75" customHeight="1">
      <c r="AG504" s="1"/>
    </row>
    <row r="505" ht="15.75" customHeight="1">
      <c r="AG505" s="1"/>
    </row>
    <row r="506" ht="15.75" customHeight="1">
      <c r="AG506" s="1"/>
    </row>
    <row r="507" ht="15.75" customHeight="1">
      <c r="AG507" s="1"/>
    </row>
    <row r="508" ht="15.75" customHeight="1">
      <c r="AG508" s="1"/>
    </row>
    <row r="509" ht="15.75" customHeight="1">
      <c r="AG509" s="1"/>
    </row>
    <row r="510" ht="15.75" customHeight="1">
      <c r="AG510" s="1"/>
    </row>
    <row r="511" ht="15.75" customHeight="1">
      <c r="AG511" s="1"/>
    </row>
    <row r="512" ht="15.75" customHeight="1">
      <c r="AG512" s="1"/>
    </row>
    <row r="513" ht="15.75" customHeight="1">
      <c r="AG513" s="1"/>
    </row>
    <row r="514" ht="15.75" customHeight="1">
      <c r="AG514" s="1"/>
    </row>
    <row r="515" ht="15.75" customHeight="1">
      <c r="AG515" s="1"/>
    </row>
    <row r="516" ht="15.75" customHeight="1">
      <c r="AG516" s="1"/>
    </row>
    <row r="517" ht="15.75" customHeight="1">
      <c r="AG517" s="1"/>
    </row>
    <row r="518" ht="15.75" customHeight="1">
      <c r="AG518" s="1"/>
    </row>
    <row r="519" ht="15.75" customHeight="1">
      <c r="AG519" s="1"/>
    </row>
    <row r="520" ht="15.75" customHeight="1">
      <c r="AG520" s="1"/>
    </row>
    <row r="521" ht="15.75" customHeight="1">
      <c r="AG521" s="1"/>
    </row>
    <row r="522" ht="15.75" customHeight="1">
      <c r="AG522" s="1"/>
    </row>
    <row r="523" ht="15.75" customHeight="1">
      <c r="AG523" s="1"/>
    </row>
    <row r="524" ht="15.75" customHeight="1">
      <c r="AG524" s="1"/>
    </row>
    <row r="525" ht="15.75" customHeight="1">
      <c r="AG525" s="1"/>
    </row>
    <row r="526" ht="15.75" customHeight="1">
      <c r="AG526" s="1"/>
    </row>
    <row r="527" ht="15.75" customHeight="1">
      <c r="AG527" s="1"/>
    </row>
    <row r="528" ht="15.75" customHeight="1">
      <c r="AG528" s="1"/>
    </row>
    <row r="529" ht="15.75" customHeight="1">
      <c r="AG529" s="1"/>
    </row>
    <row r="530" ht="15.75" customHeight="1">
      <c r="AG530" s="1"/>
    </row>
    <row r="531" ht="15.75" customHeight="1">
      <c r="AG531" s="1"/>
    </row>
    <row r="532" ht="15.75" customHeight="1">
      <c r="AG532" s="1"/>
    </row>
    <row r="533" ht="15.75" customHeight="1">
      <c r="AG533" s="1"/>
    </row>
    <row r="534" ht="15.75" customHeight="1">
      <c r="AG534" s="1"/>
    </row>
    <row r="535" ht="15.75" customHeight="1">
      <c r="AG535" s="1"/>
    </row>
    <row r="536" ht="15.75" customHeight="1">
      <c r="AG536" s="1"/>
    </row>
    <row r="537" ht="15.75" customHeight="1">
      <c r="AG537" s="1"/>
    </row>
    <row r="538" ht="15.75" customHeight="1">
      <c r="AG538" s="1"/>
    </row>
    <row r="539" ht="15.75" customHeight="1">
      <c r="AG539" s="1"/>
    </row>
    <row r="540" ht="15.75" customHeight="1">
      <c r="AG540" s="1"/>
    </row>
    <row r="541" ht="15.75" customHeight="1">
      <c r="AG541" s="1"/>
    </row>
    <row r="542" ht="15.75" customHeight="1">
      <c r="AG542" s="1"/>
    </row>
    <row r="543" ht="15.75" customHeight="1">
      <c r="AG543" s="1"/>
    </row>
    <row r="544" ht="15.75" customHeight="1">
      <c r="AG544" s="1"/>
    </row>
    <row r="545" ht="15.75" customHeight="1">
      <c r="AG545" s="1"/>
    </row>
    <row r="546" ht="15.75" customHeight="1">
      <c r="AG546" s="1"/>
    </row>
    <row r="547" ht="15.75" customHeight="1">
      <c r="AG547" s="1"/>
    </row>
    <row r="548" ht="15.75" customHeight="1">
      <c r="AG548" s="1"/>
    </row>
    <row r="549" ht="15.75" customHeight="1">
      <c r="AG549" s="1"/>
    </row>
    <row r="550" ht="15.75" customHeight="1">
      <c r="AG550" s="1"/>
    </row>
    <row r="551" ht="15.75" customHeight="1">
      <c r="AG551" s="1"/>
    </row>
    <row r="552" ht="15.75" customHeight="1">
      <c r="AG552" s="1"/>
    </row>
    <row r="553" ht="15.75" customHeight="1">
      <c r="AG553" s="1"/>
    </row>
    <row r="554" ht="15.75" customHeight="1">
      <c r="AG554" s="1"/>
    </row>
    <row r="555" ht="15.75" customHeight="1">
      <c r="AG555" s="1"/>
    </row>
    <row r="556" ht="15.75" customHeight="1">
      <c r="AG556" s="1"/>
    </row>
    <row r="557" ht="15.75" customHeight="1">
      <c r="AG557" s="1"/>
    </row>
    <row r="558" ht="15.75" customHeight="1">
      <c r="AG558" s="1"/>
    </row>
    <row r="559" ht="15.75" customHeight="1">
      <c r="AG559" s="1"/>
    </row>
    <row r="560" ht="15.75" customHeight="1">
      <c r="AG560" s="1"/>
    </row>
    <row r="561" ht="15.75" customHeight="1">
      <c r="AG561" s="1"/>
    </row>
    <row r="562" ht="15.75" customHeight="1">
      <c r="AG562" s="1"/>
    </row>
    <row r="563" ht="15.75" customHeight="1">
      <c r="AG563" s="1"/>
    </row>
    <row r="564" ht="15.75" customHeight="1">
      <c r="AG564" s="1"/>
    </row>
    <row r="565" ht="15.75" customHeight="1">
      <c r="AG565" s="1"/>
    </row>
    <row r="566" ht="15.75" customHeight="1">
      <c r="AG566" s="1"/>
    </row>
    <row r="567" ht="15.75" customHeight="1">
      <c r="AG567" s="1"/>
    </row>
    <row r="568" ht="15.75" customHeight="1">
      <c r="AG568" s="1"/>
    </row>
    <row r="569" ht="15.75" customHeight="1">
      <c r="AG569" s="1"/>
    </row>
    <row r="570" ht="15.75" customHeight="1">
      <c r="AG570" s="1"/>
    </row>
    <row r="571" ht="15.75" customHeight="1">
      <c r="AG571" s="1"/>
    </row>
    <row r="572" ht="15.75" customHeight="1">
      <c r="AG572" s="1"/>
    </row>
    <row r="573" ht="15.75" customHeight="1">
      <c r="AG573" s="1"/>
    </row>
    <row r="574" ht="15.75" customHeight="1">
      <c r="AG574" s="1"/>
    </row>
    <row r="575" ht="15.75" customHeight="1">
      <c r="AG575" s="1"/>
    </row>
    <row r="576" ht="15.75" customHeight="1">
      <c r="AG576" s="1"/>
    </row>
    <row r="577" ht="15.75" customHeight="1">
      <c r="AG577" s="1"/>
    </row>
    <row r="578" ht="15.75" customHeight="1">
      <c r="AG578" s="1"/>
    </row>
    <row r="579" ht="15.75" customHeight="1">
      <c r="AG579" s="1"/>
    </row>
    <row r="580" ht="15.75" customHeight="1">
      <c r="AG580" s="1"/>
    </row>
    <row r="581" ht="15.75" customHeight="1">
      <c r="AG581" s="1"/>
    </row>
    <row r="582" ht="15.75" customHeight="1">
      <c r="AG582" s="1"/>
    </row>
    <row r="583" ht="15.75" customHeight="1">
      <c r="AG583" s="1"/>
    </row>
    <row r="584" ht="15.75" customHeight="1">
      <c r="AG584" s="1"/>
    </row>
    <row r="585" ht="15.75" customHeight="1">
      <c r="AG585" s="1"/>
    </row>
    <row r="586" ht="15.75" customHeight="1">
      <c r="AG586" s="1"/>
    </row>
    <row r="587" ht="15.75" customHeight="1">
      <c r="AG587" s="1"/>
    </row>
    <row r="588" ht="15.75" customHeight="1">
      <c r="AG588" s="1"/>
    </row>
    <row r="589" ht="15.75" customHeight="1">
      <c r="AG589" s="1"/>
    </row>
    <row r="590" ht="15.75" customHeight="1">
      <c r="AG590" s="1"/>
    </row>
    <row r="591" ht="15.75" customHeight="1">
      <c r="AG591" s="1"/>
    </row>
    <row r="592" ht="15.75" customHeight="1">
      <c r="AG592" s="1"/>
    </row>
    <row r="593" ht="15.75" customHeight="1">
      <c r="AG593" s="1"/>
    </row>
    <row r="594" ht="15.75" customHeight="1">
      <c r="AG594" s="1"/>
    </row>
    <row r="595" ht="15.75" customHeight="1">
      <c r="AG595" s="1"/>
    </row>
    <row r="596" ht="15.75" customHeight="1">
      <c r="AG596" s="1"/>
    </row>
    <row r="597" ht="15.75" customHeight="1">
      <c r="AG597" s="1"/>
    </row>
    <row r="598" ht="15.75" customHeight="1">
      <c r="AG598" s="1"/>
    </row>
    <row r="599" ht="15.75" customHeight="1">
      <c r="AG599" s="1"/>
    </row>
    <row r="600" ht="15.75" customHeight="1">
      <c r="AG600" s="1"/>
    </row>
    <row r="601" ht="15.75" customHeight="1">
      <c r="AG601" s="1"/>
    </row>
    <row r="602" ht="15.75" customHeight="1">
      <c r="AG602" s="1"/>
    </row>
    <row r="603" ht="15.75" customHeight="1">
      <c r="AG603" s="1"/>
    </row>
    <row r="604" ht="15.75" customHeight="1">
      <c r="AG604" s="1"/>
    </row>
    <row r="605" ht="15.75" customHeight="1">
      <c r="AG605" s="1"/>
    </row>
    <row r="606" ht="15.75" customHeight="1">
      <c r="AG606" s="1"/>
    </row>
    <row r="607" ht="15.75" customHeight="1">
      <c r="AG607" s="1"/>
    </row>
    <row r="608" ht="15.75" customHeight="1">
      <c r="AG608" s="1"/>
    </row>
    <row r="609" ht="15.75" customHeight="1">
      <c r="AG609" s="1"/>
    </row>
    <row r="610" ht="15.75" customHeight="1">
      <c r="AG610" s="1"/>
    </row>
    <row r="611" ht="15.75" customHeight="1">
      <c r="AG611" s="1"/>
    </row>
    <row r="612" ht="15.75" customHeight="1">
      <c r="AG612" s="1"/>
    </row>
    <row r="613" ht="15.75" customHeight="1">
      <c r="AG613" s="1"/>
    </row>
    <row r="614" ht="15.75" customHeight="1">
      <c r="AG614" s="1"/>
    </row>
    <row r="615" ht="15.75" customHeight="1">
      <c r="AG615" s="1"/>
    </row>
    <row r="616" ht="15.75" customHeight="1">
      <c r="AG616" s="1"/>
    </row>
    <row r="617" ht="15.75" customHeight="1">
      <c r="AG617" s="1"/>
    </row>
    <row r="618" ht="15.75" customHeight="1">
      <c r="AG618" s="1"/>
    </row>
    <row r="619" ht="15.75" customHeight="1">
      <c r="AG619" s="1"/>
    </row>
    <row r="620" ht="15.75" customHeight="1">
      <c r="AG620" s="1"/>
    </row>
    <row r="621" ht="15.75" customHeight="1">
      <c r="AG621" s="1"/>
    </row>
    <row r="622" ht="15.75" customHeight="1">
      <c r="AG622" s="1"/>
    </row>
    <row r="623" ht="15.75" customHeight="1">
      <c r="AG623" s="1"/>
    </row>
    <row r="624" ht="15.75" customHeight="1">
      <c r="AG624" s="1"/>
    </row>
    <row r="625" ht="15.75" customHeight="1">
      <c r="AG625" s="1"/>
    </row>
    <row r="626" ht="15.75" customHeight="1">
      <c r="AG626" s="1"/>
    </row>
    <row r="627" ht="15.75" customHeight="1">
      <c r="AG627" s="1"/>
    </row>
    <row r="628" ht="15.75" customHeight="1">
      <c r="AG628" s="1"/>
    </row>
    <row r="629" ht="15.75" customHeight="1">
      <c r="AG629" s="1"/>
    </row>
    <row r="630" ht="15.75" customHeight="1">
      <c r="AG630" s="1"/>
    </row>
    <row r="631" ht="15.75" customHeight="1">
      <c r="AG631" s="1"/>
    </row>
    <row r="632" ht="15.75" customHeight="1">
      <c r="AG632" s="1"/>
    </row>
    <row r="633" ht="15.75" customHeight="1">
      <c r="AG633" s="1"/>
    </row>
    <row r="634" ht="15.75" customHeight="1">
      <c r="AG634" s="1"/>
    </row>
    <row r="635" ht="15.75" customHeight="1">
      <c r="AG635" s="1"/>
    </row>
    <row r="636" ht="15.75" customHeight="1">
      <c r="AG636" s="1"/>
    </row>
    <row r="637" ht="15.75" customHeight="1">
      <c r="AG637" s="1"/>
    </row>
    <row r="638" ht="15.75" customHeight="1">
      <c r="AG638" s="1"/>
    </row>
    <row r="639" ht="15.75" customHeight="1">
      <c r="AG639" s="1"/>
    </row>
    <row r="640" ht="15.75" customHeight="1">
      <c r="AG640" s="1"/>
    </row>
    <row r="641" ht="15.75" customHeight="1">
      <c r="AG641" s="1"/>
    </row>
    <row r="642" ht="15.75" customHeight="1">
      <c r="AG642" s="1"/>
    </row>
    <row r="643" ht="15.75" customHeight="1">
      <c r="AG643" s="1"/>
    </row>
    <row r="644" ht="15.75" customHeight="1">
      <c r="AG644" s="1"/>
    </row>
    <row r="645" ht="15.75" customHeight="1">
      <c r="AG645" s="1"/>
    </row>
    <row r="646" ht="15.75" customHeight="1">
      <c r="AG646" s="1"/>
    </row>
    <row r="647" ht="15.75" customHeight="1">
      <c r="AG647" s="1"/>
    </row>
    <row r="648" ht="15.75" customHeight="1">
      <c r="AG648" s="1"/>
    </row>
    <row r="649" ht="15.75" customHeight="1">
      <c r="AG649" s="1"/>
    </row>
    <row r="650" ht="15.75" customHeight="1">
      <c r="AG650" s="1"/>
    </row>
    <row r="651" ht="15.75" customHeight="1">
      <c r="AG651" s="1"/>
    </row>
    <row r="652" ht="15.75" customHeight="1">
      <c r="AG652" s="1"/>
    </row>
    <row r="653" ht="15.75" customHeight="1">
      <c r="AG653" s="1"/>
    </row>
    <row r="654" ht="15.75" customHeight="1">
      <c r="AG654" s="1"/>
    </row>
    <row r="655" ht="15.75" customHeight="1">
      <c r="AG655" s="1"/>
    </row>
    <row r="656" ht="15.75" customHeight="1">
      <c r="AG656" s="1"/>
    </row>
    <row r="657" ht="15.75" customHeight="1">
      <c r="AG657" s="1"/>
    </row>
    <row r="658" ht="15.75" customHeight="1">
      <c r="AG658" s="1"/>
    </row>
    <row r="659" ht="15.75" customHeight="1">
      <c r="AG659" s="1"/>
    </row>
    <row r="660" ht="15.75" customHeight="1">
      <c r="AG660" s="1"/>
    </row>
    <row r="661" ht="15.75" customHeight="1">
      <c r="AG661" s="1"/>
    </row>
    <row r="662" ht="15.75" customHeight="1">
      <c r="AG662" s="1"/>
    </row>
    <row r="663" ht="15.75" customHeight="1">
      <c r="AG663" s="1"/>
    </row>
    <row r="664" ht="15.75" customHeight="1">
      <c r="AG664" s="1"/>
    </row>
    <row r="665" ht="15.75" customHeight="1">
      <c r="AG665" s="1"/>
    </row>
    <row r="666" ht="15.75" customHeight="1">
      <c r="AG666" s="1"/>
    </row>
    <row r="667" ht="15.75" customHeight="1">
      <c r="AG667" s="1"/>
    </row>
    <row r="668" ht="15.75" customHeight="1">
      <c r="AG668" s="1"/>
    </row>
    <row r="669" ht="15.75" customHeight="1">
      <c r="AG669" s="1"/>
    </row>
    <row r="670" ht="15.75" customHeight="1">
      <c r="AG670" s="1"/>
    </row>
    <row r="671" ht="15.75" customHeight="1">
      <c r="AG671" s="1"/>
    </row>
    <row r="672" ht="15.75" customHeight="1">
      <c r="AG672" s="1"/>
    </row>
    <row r="673" ht="15.75" customHeight="1">
      <c r="AG673" s="1"/>
    </row>
    <row r="674" ht="15.75" customHeight="1">
      <c r="AG674" s="1"/>
    </row>
    <row r="675" ht="15.75" customHeight="1">
      <c r="AG675" s="1"/>
    </row>
    <row r="676" ht="15.75" customHeight="1">
      <c r="AG676" s="1"/>
    </row>
    <row r="677" ht="15.75" customHeight="1">
      <c r="AG677" s="1"/>
    </row>
    <row r="678" ht="15.75" customHeight="1">
      <c r="AG678" s="1"/>
    </row>
    <row r="679" ht="15.75" customHeight="1">
      <c r="AG679" s="1"/>
    </row>
    <row r="680" ht="15.75" customHeight="1">
      <c r="AG680" s="1"/>
    </row>
    <row r="681" ht="15.75" customHeight="1">
      <c r="AG681" s="1"/>
    </row>
    <row r="682" ht="15.75" customHeight="1">
      <c r="AG682" s="1"/>
    </row>
    <row r="683" ht="15.75" customHeight="1">
      <c r="AG683" s="1"/>
    </row>
    <row r="684" ht="15.75" customHeight="1">
      <c r="AG684" s="1"/>
    </row>
    <row r="685" ht="15.75" customHeight="1">
      <c r="AG685" s="1"/>
    </row>
    <row r="686" ht="15.75" customHeight="1">
      <c r="AG686" s="1"/>
    </row>
    <row r="687" ht="15.75" customHeight="1">
      <c r="AG687" s="1"/>
    </row>
    <row r="688" ht="15.75" customHeight="1">
      <c r="AG688" s="1"/>
    </row>
    <row r="689" ht="15.75" customHeight="1">
      <c r="AG689" s="1"/>
    </row>
    <row r="690" ht="15.75" customHeight="1">
      <c r="AG690" s="1"/>
    </row>
    <row r="691" ht="15.75" customHeight="1">
      <c r="AG691" s="1"/>
    </row>
    <row r="692" ht="15.75" customHeight="1">
      <c r="AG692" s="1"/>
    </row>
    <row r="693" ht="15.75" customHeight="1">
      <c r="AG693" s="1"/>
    </row>
    <row r="694" ht="15.75" customHeight="1">
      <c r="AG694" s="1"/>
    </row>
    <row r="695" ht="15.75" customHeight="1">
      <c r="AG695" s="1"/>
    </row>
    <row r="696" ht="15.75" customHeight="1">
      <c r="AG696" s="1"/>
    </row>
    <row r="697" ht="15.75" customHeight="1">
      <c r="AG697" s="1"/>
    </row>
    <row r="698" ht="15.75" customHeight="1">
      <c r="AG698" s="1"/>
    </row>
    <row r="699" ht="15.75" customHeight="1">
      <c r="AG699" s="1"/>
    </row>
    <row r="700" ht="15.75" customHeight="1">
      <c r="AG700" s="1"/>
    </row>
    <row r="701" ht="15.75" customHeight="1">
      <c r="AG701" s="1"/>
    </row>
    <row r="702" ht="15.75" customHeight="1">
      <c r="AG702" s="1"/>
    </row>
    <row r="703" ht="15.75" customHeight="1">
      <c r="AG703" s="1"/>
    </row>
    <row r="704" ht="15.75" customHeight="1">
      <c r="AG704" s="1"/>
    </row>
    <row r="705" ht="15.75" customHeight="1">
      <c r="AG705" s="1"/>
    </row>
    <row r="706" ht="15.75" customHeight="1">
      <c r="AG706" s="1"/>
    </row>
    <row r="707" ht="15.75" customHeight="1">
      <c r="AG707" s="1"/>
    </row>
    <row r="708" ht="15.75" customHeight="1">
      <c r="AG708" s="1"/>
    </row>
    <row r="709" ht="15.75" customHeight="1">
      <c r="AG709" s="1"/>
    </row>
    <row r="710" ht="15.75" customHeight="1">
      <c r="AG710" s="1"/>
    </row>
    <row r="711" ht="15.75" customHeight="1">
      <c r="AG711" s="1"/>
    </row>
    <row r="712" ht="15.75" customHeight="1">
      <c r="AG712" s="1"/>
    </row>
    <row r="713" ht="15.75" customHeight="1">
      <c r="AG713" s="1"/>
    </row>
    <row r="714" ht="15.75" customHeight="1">
      <c r="AG714" s="1"/>
    </row>
    <row r="715" ht="15.75" customHeight="1">
      <c r="AG715" s="1"/>
    </row>
    <row r="716" ht="15.75" customHeight="1">
      <c r="AG716" s="1"/>
    </row>
    <row r="717" ht="15.75" customHeight="1">
      <c r="AG717" s="1"/>
    </row>
    <row r="718" ht="15.75" customHeight="1">
      <c r="AG718" s="1"/>
    </row>
    <row r="719" ht="15.75" customHeight="1">
      <c r="AG719" s="1"/>
    </row>
    <row r="720" ht="15.75" customHeight="1">
      <c r="AG720" s="1"/>
    </row>
    <row r="721" ht="15.75" customHeight="1">
      <c r="AG721" s="1"/>
    </row>
    <row r="722" ht="15.75" customHeight="1">
      <c r="AG722" s="1"/>
    </row>
    <row r="723" ht="15.75" customHeight="1">
      <c r="AG723" s="1"/>
    </row>
    <row r="724" ht="15.75" customHeight="1">
      <c r="AG724" s="1"/>
    </row>
    <row r="725" ht="15.75" customHeight="1">
      <c r="AG725" s="1"/>
    </row>
    <row r="726" ht="15.75" customHeight="1">
      <c r="AG726" s="1"/>
    </row>
    <row r="727" ht="15.75" customHeight="1">
      <c r="AG727" s="1"/>
    </row>
    <row r="728" ht="15.75" customHeight="1">
      <c r="AG728" s="1"/>
    </row>
    <row r="729" ht="15.75" customHeight="1">
      <c r="AG729" s="1"/>
    </row>
    <row r="730" ht="15.75" customHeight="1">
      <c r="AG730" s="1"/>
    </row>
    <row r="731" ht="15.75" customHeight="1">
      <c r="AG731" s="1"/>
    </row>
    <row r="732" ht="15.75" customHeight="1">
      <c r="AG732" s="1"/>
    </row>
    <row r="733" ht="15.75" customHeight="1">
      <c r="AG733" s="1"/>
    </row>
    <row r="734" ht="15.75" customHeight="1">
      <c r="AG734" s="1"/>
    </row>
    <row r="735" ht="15.75" customHeight="1">
      <c r="AG735" s="1"/>
    </row>
    <row r="736" ht="15.75" customHeight="1">
      <c r="AG736" s="1"/>
    </row>
    <row r="737" ht="15.75" customHeight="1">
      <c r="AG737" s="1"/>
    </row>
    <row r="738" ht="15.75" customHeight="1">
      <c r="AG738" s="1"/>
    </row>
    <row r="739" ht="15.75" customHeight="1">
      <c r="AG739" s="1"/>
    </row>
    <row r="740" ht="15.75" customHeight="1">
      <c r="AG740" s="1"/>
    </row>
    <row r="741" ht="15.75" customHeight="1">
      <c r="AG741" s="1"/>
    </row>
    <row r="742" ht="15.75" customHeight="1">
      <c r="AG742" s="1"/>
    </row>
    <row r="743" ht="15.75" customHeight="1">
      <c r="AG743" s="1"/>
    </row>
    <row r="744" ht="15.75" customHeight="1">
      <c r="AG744" s="1"/>
    </row>
    <row r="745" ht="15.75" customHeight="1">
      <c r="AG745" s="1"/>
    </row>
    <row r="746" ht="15.75" customHeight="1">
      <c r="AG746" s="1"/>
    </row>
    <row r="747" ht="15.75" customHeight="1">
      <c r="AG747" s="1"/>
    </row>
    <row r="748" ht="15.75" customHeight="1">
      <c r="AG748" s="1"/>
    </row>
    <row r="749" ht="15.75" customHeight="1">
      <c r="AG749" s="1"/>
    </row>
    <row r="750" ht="15.75" customHeight="1">
      <c r="AG750" s="1"/>
    </row>
    <row r="751" ht="15.75" customHeight="1">
      <c r="AG751" s="1"/>
    </row>
    <row r="752" ht="15.75" customHeight="1">
      <c r="AG752" s="1"/>
    </row>
    <row r="753" ht="15.75" customHeight="1">
      <c r="AG753" s="1"/>
    </row>
    <row r="754" ht="15.75" customHeight="1">
      <c r="AG754" s="1"/>
    </row>
    <row r="755" ht="15.75" customHeight="1">
      <c r="AG755" s="1"/>
    </row>
    <row r="756" ht="15.75" customHeight="1">
      <c r="AG756" s="1"/>
    </row>
    <row r="757" ht="15.75" customHeight="1">
      <c r="AG757" s="1"/>
    </row>
    <row r="758" ht="15.75" customHeight="1">
      <c r="AG758" s="1"/>
    </row>
    <row r="759" ht="15.75" customHeight="1">
      <c r="AG759" s="1"/>
    </row>
    <row r="760" ht="15.75" customHeight="1">
      <c r="AG760" s="1"/>
    </row>
    <row r="761" ht="15.75" customHeight="1">
      <c r="AG761" s="1"/>
    </row>
    <row r="762" ht="15.75" customHeight="1">
      <c r="AG762" s="1"/>
    </row>
    <row r="763" ht="15.75" customHeight="1">
      <c r="AG763" s="1"/>
    </row>
    <row r="764" ht="15.75" customHeight="1">
      <c r="AG764" s="1"/>
    </row>
    <row r="765" ht="15.75" customHeight="1">
      <c r="AG765" s="1"/>
    </row>
    <row r="766" ht="15.75" customHeight="1">
      <c r="AG766" s="1"/>
    </row>
    <row r="767" ht="15.75" customHeight="1">
      <c r="AG767" s="1"/>
    </row>
    <row r="768" ht="15.75" customHeight="1">
      <c r="AG768" s="1"/>
    </row>
    <row r="769" ht="15.75" customHeight="1">
      <c r="AG769" s="1"/>
    </row>
    <row r="770" ht="15.75" customHeight="1">
      <c r="AG770" s="1"/>
    </row>
    <row r="771" ht="15.75" customHeight="1">
      <c r="AG771" s="1"/>
    </row>
    <row r="772" ht="15.75" customHeight="1">
      <c r="AG772" s="1"/>
    </row>
    <row r="773" ht="15.75" customHeight="1">
      <c r="AG773" s="1"/>
    </row>
    <row r="774" ht="15.75" customHeight="1">
      <c r="AG774" s="1"/>
    </row>
    <row r="775" ht="15.75" customHeight="1">
      <c r="AG775" s="1"/>
    </row>
    <row r="776" ht="15.75" customHeight="1">
      <c r="AG776" s="1"/>
    </row>
    <row r="777" ht="15.75" customHeight="1">
      <c r="AG777" s="1"/>
    </row>
    <row r="778" ht="15.75" customHeight="1">
      <c r="AG778" s="1"/>
    </row>
    <row r="779" ht="15.75" customHeight="1">
      <c r="AG779" s="1"/>
    </row>
    <row r="780" ht="15.75" customHeight="1">
      <c r="AG780" s="1"/>
    </row>
    <row r="781" ht="15.75" customHeight="1">
      <c r="AG781" s="1"/>
    </row>
    <row r="782" ht="15.75" customHeight="1">
      <c r="AG782" s="1"/>
    </row>
    <row r="783" ht="15.75" customHeight="1">
      <c r="AG783" s="1"/>
    </row>
    <row r="784" ht="15.75" customHeight="1">
      <c r="AG784" s="1"/>
    </row>
    <row r="785" ht="15.75" customHeight="1">
      <c r="AG785" s="1"/>
    </row>
    <row r="786" ht="15.75" customHeight="1">
      <c r="AG786" s="1"/>
    </row>
    <row r="787" ht="15.75" customHeight="1">
      <c r="AG787" s="1"/>
    </row>
    <row r="788" ht="15.75" customHeight="1">
      <c r="AG788" s="1"/>
    </row>
    <row r="789" ht="15.75" customHeight="1">
      <c r="AG789" s="1"/>
    </row>
    <row r="790" ht="15.75" customHeight="1">
      <c r="AG790" s="1"/>
    </row>
    <row r="791" ht="15.75" customHeight="1">
      <c r="AG791" s="1"/>
    </row>
    <row r="792" ht="15.75" customHeight="1">
      <c r="AG792" s="1"/>
    </row>
    <row r="793" ht="15.75" customHeight="1">
      <c r="AG793" s="1"/>
    </row>
    <row r="794" ht="15.75" customHeight="1">
      <c r="AG794" s="1"/>
    </row>
    <row r="795" ht="15.75" customHeight="1">
      <c r="AG795" s="1"/>
    </row>
    <row r="796" ht="15.75" customHeight="1">
      <c r="AG796" s="1"/>
    </row>
    <row r="797" ht="15.75" customHeight="1">
      <c r="AG797" s="1"/>
    </row>
    <row r="798" ht="15.75" customHeight="1">
      <c r="AG798" s="1"/>
    </row>
    <row r="799" ht="15.75" customHeight="1">
      <c r="AG799" s="1"/>
    </row>
    <row r="800" ht="15.75" customHeight="1">
      <c r="AG800" s="1"/>
    </row>
    <row r="801" ht="15.75" customHeight="1">
      <c r="AG801" s="1"/>
    </row>
    <row r="802" ht="15.75" customHeight="1">
      <c r="AG802" s="1"/>
    </row>
    <row r="803" ht="15.75" customHeight="1">
      <c r="AG803" s="1"/>
    </row>
    <row r="804" ht="15.75" customHeight="1">
      <c r="AG804" s="1"/>
    </row>
    <row r="805" ht="15.75" customHeight="1">
      <c r="AG805" s="1"/>
    </row>
    <row r="806" ht="15.75" customHeight="1">
      <c r="AG806" s="1"/>
    </row>
    <row r="807" ht="15.75" customHeight="1">
      <c r="AG807" s="1"/>
    </row>
    <row r="808" ht="15.75" customHeight="1">
      <c r="AG808" s="1"/>
    </row>
    <row r="809" ht="15.75" customHeight="1">
      <c r="AG809" s="1"/>
    </row>
    <row r="810" ht="15.75" customHeight="1">
      <c r="AG810" s="1"/>
    </row>
    <row r="811" ht="15.75" customHeight="1">
      <c r="AG811" s="1"/>
    </row>
    <row r="812" ht="15.75" customHeight="1">
      <c r="AG812" s="1"/>
    </row>
    <row r="813" ht="15.75" customHeight="1">
      <c r="AG813" s="1"/>
    </row>
    <row r="814" ht="15.75" customHeight="1">
      <c r="AG814" s="1"/>
    </row>
    <row r="815" ht="15.75" customHeight="1">
      <c r="AG815" s="1"/>
    </row>
    <row r="816" ht="15.75" customHeight="1">
      <c r="AG816" s="1"/>
    </row>
    <row r="817" ht="15.75" customHeight="1">
      <c r="AG817" s="1"/>
    </row>
    <row r="818" ht="15.75" customHeight="1">
      <c r="AG818" s="1"/>
    </row>
    <row r="819" ht="15.75" customHeight="1">
      <c r="AG819" s="1"/>
    </row>
    <row r="820" ht="15.75" customHeight="1">
      <c r="AG820" s="1"/>
    </row>
    <row r="821" ht="15.75" customHeight="1">
      <c r="AG821" s="1"/>
    </row>
    <row r="822" ht="15.75" customHeight="1">
      <c r="AG822" s="1"/>
    </row>
    <row r="823" ht="15.75" customHeight="1">
      <c r="AG823" s="1"/>
    </row>
    <row r="824" ht="15.75" customHeight="1">
      <c r="AG824" s="1"/>
    </row>
    <row r="825" ht="15.75" customHeight="1">
      <c r="AG825" s="1"/>
    </row>
    <row r="826" ht="15.75" customHeight="1">
      <c r="AG826" s="1"/>
    </row>
    <row r="827" ht="15.75" customHeight="1">
      <c r="AG827" s="1"/>
    </row>
    <row r="828" ht="15.75" customHeight="1">
      <c r="AG828" s="1"/>
    </row>
    <row r="829" ht="15.75" customHeight="1">
      <c r="AG829" s="1"/>
    </row>
    <row r="830" ht="15.75" customHeight="1">
      <c r="AG830" s="1"/>
    </row>
    <row r="831" ht="15.75" customHeight="1">
      <c r="AG831" s="1"/>
    </row>
    <row r="832" ht="15.75" customHeight="1">
      <c r="AG832" s="1"/>
    </row>
    <row r="833" ht="15.75" customHeight="1">
      <c r="AG833" s="1"/>
    </row>
    <row r="834" ht="15.75" customHeight="1">
      <c r="AG834" s="1"/>
    </row>
    <row r="835" ht="15.75" customHeight="1">
      <c r="AG835" s="1"/>
    </row>
    <row r="836" ht="15.75" customHeight="1">
      <c r="AG836" s="1"/>
    </row>
    <row r="837" ht="15.75" customHeight="1">
      <c r="AG837" s="1"/>
    </row>
    <row r="838" ht="15.75" customHeight="1">
      <c r="AG838" s="1"/>
    </row>
    <row r="839" ht="15.75" customHeight="1">
      <c r="AG839" s="1"/>
    </row>
    <row r="840" ht="15.75" customHeight="1">
      <c r="AG840" s="1"/>
    </row>
    <row r="841" ht="15.75" customHeight="1">
      <c r="AG841" s="1"/>
    </row>
    <row r="842" ht="15.75" customHeight="1">
      <c r="AG842" s="1"/>
    </row>
    <row r="843" ht="15.75" customHeight="1">
      <c r="AG843" s="1"/>
    </row>
    <row r="844" ht="15.75" customHeight="1">
      <c r="AG844" s="1"/>
    </row>
    <row r="845" ht="15.75" customHeight="1">
      <c r="AG845" s="1"/>
    </row>
    <row r="846" ht="15.75" customHeight="1">
      <c r="AG846" s="1"/>
    </row>
    <row r="847" ht="15.75" customHeight="1">
      <c r="AG847" s="1"/>
    </row>
    <row r="848" ht="15.75" customHeight="1">
      <c r="AG848" s="1"/>
    </row>
    <row r="849" ht="15.75" customHeight="1">
      <c r="AG849" s="1"/>
    </row>
    <row r="850" ht="15.75" customHeight="1">
      <c r="AG850" s="1"/>
    </row>
    <row r="851" ht="15.75" customHeight="1">
      <c r="AG851" s="1"/>
    </row>
    <row r="852" ht="15.75" customHeight="1">
      <c r="AG852" s="1"/>
    </row>
    <row r="853" ht="15.75" customHeight="1">
      <c r="AG853" s="1"/>
    </row>
    <row r="854" ht="15.75" customHeight="1">
      <c r="AG854" s="1"/>
    </row>
    <row r="855" ht="15.75" customHeight="1">
      <c r="AG855" s="1"/>
    </row>
    <row r="856" ht="15.75" customHeight="1">
      <c r="AG856" s="1"/>
    </row>
    <row r="857" ht="15.75" customHeight="1">
      <c r="AG857" s="1"/>
    </row>
    <row r="858" ht="15.75" customHeight="1">
      <c r="AG858" s="1"/>
    </row>
    <row r="859" ht="15.75" customHeight="1">
      <c r="AG859" s="1"/>
    </row>
    <row r="860" ht="15.75" customHeight="1">
      <c r="AG860" s="1"/>
    </row>
    <row r="861" ht="15.75" customHeight="1">
      <c r="AG861" s="1"/>
    </row>
    <row r="862" ht="15.75" customHeight="1">
      <c r="AG862" s="1"/>
    </row>
    <row r="863" ht="15.75" customHeight="1">
      <c r="AG863" s="1"/>
    </row>
    <row r="864" ht="15.75" customHeight="1">
      <c r="AG864" s="1"/>
    </row>
    <row r="865" ht="15.75" customHeight="1">
      <c r="AG865" s="1"/>
    </row>
    <row r="866" ht="15.75" customHeight="1">
      <c r="AG866" s="1"/>
    </row>
    <row r="867" ht="15.75" customHeight="1">
      <c r="AG867" s="1"/>
    </row>
    <row r="868" ht="15.75" customHeight="1">
      <c r="AG868" s="1"/>
    </row>
    <row r="869" ht="15.75" customHeight="1">
      <c r="AG869" s="1"/>
    </row>
    <row r="870" ht="15.75" customHeight="1">
      <c r="AG870" s="1"/>
    </row>
    <row r="871" ht="15.75" customHeight="1">
      <c r="AG871" s="1"/>
    </row>
    <row r="872" ht="15.75" customHeight="1">
      <c r="AG872" s="1"/>
    </row>
    <row r="873" ht="15.75" customHeight="1">
      <c r="AG873" s="1"/>
    </row>
    <row r="874" ht="15.75" customHeight="1">
      <c r="AG874" s="1"/>
    </row>
    <row r="875" ht="15.75" customHeight="1">
      <c r="AG875" s="1"/>
    </row>
    <row r="876" ht="15.75" customHeight="1">
      <c r="AG876" s="1"/>
    </row>
    <row r="877" ht="15.75" customHeight="1">
      <c r="AG877" s="1"/>
    </row>
    <row r="878" ht="15.75" customHeight="1">
      <c r="AG878" s="1"/>
    </row>
    <row r="879" ht="15.75" customHeight="1">
      <c r="AG879" s="1"/>
    </row>
    <row r="880" ht="15.75" customHeight="1">
      <c r="AG880" s="1"/>
    </row>
    <row r="881" ht="15.75" customHeight="1">
      <c r="AG881" s="1"/>
    </row>
    <row r="882" ht="15.75" customHeight="1">
      <c r="AG882" s="1"/>
    </row>
    <row r="883" ht="15.75" customHeight="1">
      <c r="AG883" s="1"/>
    </row>
    <row r="884" ht="15.75" customHeight="1">
      <c r="AG884" s="1"/>
    </row>
    <row r="885" ht="15.75" customHeight="1">
      <c r="AG885" s="1"/>
    </row>
    <row r="886" ht="15.75" customHeight="1">
      <c r="AG886" s="1"/>
    </row>
    <row r="887" ht="15.75" customHeight="1">
      <c r="AG887" s="1"/>
    </row>
    <row r="888" ht="15.75" customHeight="1">
      <c r="AG888" s="1"/>
    </row>
    <row r="889" ht="15.75" customHeight="1">
      <c r="AG889" s="1"/>
    </row>
    <row r="890" ht="15.75" customHeight="1">
      <c r="AG890" s="1"/>
    </row>
    <row r="891" ht="15.75" customHeight="1">
      <c r="AG891" s="1"/>
    </row>
    <row r="892" ht="15.75" customHeight="1">
      <c r="AG892" s="1"/>
    </row>
    <row r="893" ht="15.75" customHeight="1">
      <c r="AG893" s="1"/>
    </row>
    <row r="894" ht="15.75" customHeight="1">
      <c r="AG894" s="1"/>
    </row>
    <row r="895" ht="15.75" customHeight="1">
      <c r="AG895" s="1"/>
    </row>
    <row r="896" ht="15.75" customHeight="1">
      <c r="AG896" s="1"/>
    </row>
    <row r="897" ht="15.75" customHeight="1">
      <c r="AG897" s="1"/>
    </row>
    <row r="898" ht="15.75" customHeight="1">
      <c r="AG898" s="1"/>
    </row>
    <row r="899" ht="15.75" customHeight="1">
      <c r="AG899" s="1"/>
    </row>
    <row r="900" ht="15.75" customHeight="1">
      <c r="AG900" s="1"/>
    </row>
    <row r="901" ht="15.75" customHeight="1">
      <c r="AG901" s="1"/>
    </row>
    <row r="902" ht="15.75" customHeight="1">
      <c r="AG902" s="1"/>
    </row>
    <row r="903" ht="15.75" customHeight="1">
      <c r="AG903" s="1"/>
    </row>
    <row r="904" ht="15.75" customHeight="1">
      <c r="AG904" s="1"/>
    </row>
    <row r="905" ht="15.75" customHeight="1">
      <c r="AG905" s="1"/>
    </row>
    <row r="906" ht="15.75" customHeight="1">
      <c r="AG906" s="1"/>
    </row>
    <row r="907" ht="15.75" customHeight="1">
      <c r="AG907" s="1"/>
    </row>
    <row r="908" ht="15.75" customHeight="1">
      <c r="AG908" s="1"/>
    </row>
    <row r="909" ht="15.75" customHeight="1">
      <c r="AG909" s="1"/>
    </row>
    <row r="910" ht="15.75" customHeight="1">
      <c r="AG910" s="1"/>
    </row>
    <row r="911" ht="15.75" customHeight="1">
      <c r="AG911" s="1"/>
    </row>
    <row r="912" ht="15.75" customHeight="1">
      <c r="AG912" s="1"/>
    </row>
    <row r="913" ht="15.75" customHeight="1">
      <c r="AG913" s="1"/>
    </row>
    <row r="914" ht="15.75" customHeight="1">
      <c r="AG914" s="1"/>
    </row>
    <row r="915" ht="15.75" customHeight="1">
      <c r="AG915" s="1"/>
    </row>
    <row r="916" ht="15.75" customHeight="1">
      <c r="AG916" s="1"/>
    </row>
    <row r="917" ht="15.75" customHeight="1">
      <c r="AG917" s="1"/>
    </row>
    <row r="918" ht="15.75" customHeight="1">
      <c r="AG918" s="1"/>
    </row>
    <row r="919" ht="15.75" customHeight="1">
      <c r="AG919" s="1"/>
    </row>
    <row r="920" ht="15.75" customHeight="1">
      <c r="AG920" s="1"/>
    </row>
    <row r="921" ht="15.75" customHeight="1">
      <c r="AG921" s="1"/>
    </row>
    <row r="922" ht="15.75" customHeight="1">
      <c r="AG922" s="1"/>
    </row>
    <row r="923" ht="15.75" customHeight="1">
      <c r="AG923" s="1"/>
    </row>
    <row r="924" ht="15.75" customHeight="1">
      <c r="AG924" s="1"/>
    </row>
    <row r="925" ht="15.75" customHeight="1">
      <c r="AG925" s="1"/>
    </row>
    <row r="926" ht="15.75" customHeight="1">
      <c r="AG926" s="1"/>
    </row>
    <row r="927" ht="15.75" customHeight="1">
      <c r="AG927" s="1"/>
    </row>
    <row r="928" ht="15.75" customHeight="1">
      <c r="AG928" s="1"/>
    </row>
    <row r="929" ht="15.75" customHeight="1">
      <c r="AG929" s="1"/>
    </row>
    <row r="930" ht="15.75" customHeight="1">
      <c r="AG930" s="1"/>
    </row>
    <row r="931" ht="15.75" customHeight="1">
      <c r="AG931" s="1"/>
    </row>
    <row r="932" ht="15.75" customHeight="1">
      <c r="AG932" s="1"/>
    </row>
    <row r="933" ht="15.75" customHeight="1">
      <c r="AG933" s="1"/>
    </row>
    <row r="934" ht="15.75" customHeight="1">
      <c r="AG934" s="1"/>
    </row>
    <row r="935" ht="15.75" customHeight="1">
      <c r="AG935" s="1"/>
    </row>
    <row r="936" ht="15.75" customHeight="1">
      <c r="AG936" s="1"/>
    </row>
    <row r="937" ht="15.75" customHeight="1">
      <c r="AG937" s="1"/>
    </row>
    <row r="938" ht="15.75" customHeight="1">
      <c r="AG938" s="1"/>
    </row>
    <row r="939" ht="15.75" customHeight="1">
      <c r="AG939" s="1"/>
    </row>
    <row r="940" ht="15.75" customHeight="1">
      <c r="AG940" s="1"/>
    </row>
    <row r="941" ht="15.75" customHeight="1">
      <c r="AG941" s="1"/>
    </row>
    <row r="942" ht="15.75" customHeight="1">
      <c r="AG942" s="1"/>
    </row>
    <row r="943" ht="15.75" customHeight="1">
      <c r="AG943" s="1"/>
    </row>
    <row r="944" ht="15.75" customHeight="1">
      <c r="AG944" s="1"/>
    </row>
    <row r="945" ht="15.75" customHeight="1">
      <c r="AG945" s="1"/>
    </row>
    <row r="946" ht="15.75" customHeight="1">
      <c r="AG946" s="1"/>
    </row>
    <row r="947" ht="15.75" customHeight="1">
      <c r="AG947" s="1"/>
    </row>
    <row r="948" ht="15.75" customHeight="1">
      <c r="AG948" s="1"/>
    </row>
    <row r="949" ht="15.75" customHeight="1">
      <c r="AG949" s="1"/>
    </row>
    <row r="950" ht="15.75" customHeight="1">
      <c r="AG950" s="1"/>
    </row>
    <row r="951" ht="15.75" customHeight="1">
      <c r="AG951" s="1"/>
    </row>
    <row r="952" ht="15.75" customHeight="1">
      <c r="AG952" s="1"/>
    </row>
    <row r="953" ht="15.75" customHeight="1">
      <c r="AG953" s="1"/>
    </row>
    <row r="954" ht="15.75" customHeight="1">
      <c r="AG954" s="1"/>
    </row>
    <row r="955" ht="15.75" customHeight="1">
      <c r="AG955" s="1"/>
    </row>
    <row r="956" ht="15.75" customHeight="1">
      <c r="AG956" s="1"/>
    </row>
    <row r="957" ht="15.75" customHeight="1">
      <c r="AG957" s="1"/>
    </row>
    <row r="958" ht="15.75" customHeight="1">
      <c r="AG958" s="1"/>
    </row>
    <row r="959" ht="15.75" customHeight="1">
      <c r="AG959" s="1"/>
    </row>
    <row r="960" ht="15.75" customHeight="1">
      <c r="AG960" s="1"/>
    </row>
    <row r="961" ht="15.75" customHeight="1">
      <c r="AG961" s="1"/>
    </row>
    <row r="962" ht="15.75" customHeight="1">
      <c r="AG962" s="1"/>
    </row>
    <row r="963" ht="15.75" customHeight="1">
      <c r="AG963" s="1"/>
    </row>
    <row r="964" ht="15.75" customHeight="1">
      <c r="AG964" s="1"/>
    </row>
    <row r="965" ht="15.75" customHeight="1">
      <c r="AG965" s="1"/>
    </row>
    <row r="966" ht="15.75" customHeight="1">
      <c r="AG966" s="1"/>
    </row>
    <row r="967" ht="15.75" customHeight="1">
      <c r="AG967" s="1"/>
    </row>
    <row r="968" ht="15.75" customHeight="1">
      <c r="AG968" s="1"/>
    </row>
    <row r="969" ht="15.75" customHeight="1">
      <c r="AG969" s="1"/>
    </row>
    <row r="970" ht="15.75" customHeight="1">
      <c r="AG970" s="1"/>
    </row>
    <row r="971" ht="15.75" customHeight="1">
      <c r="AG971" s="1"/>
    </row>
    <row r="972" ht="15.75" customHeight="1">
      <c r="AG972" s="1"/>
    </row>
    <row r="973" ht="15.75" customHeight="1">
      <c r="AG973" s="1"/>
    </row>
    <row r="974" ht="15.75" customHeight="1">
      <c r="AG974" s="1"/>
    </row>
    <row r="975" ht="15.75" customHeight="1">
      <c r="AG975" s="1"/>
    </row>
    <row r="976" ht="15.75" customHeight="1">
      <c r="AG976" s="1"/>
    </row>
    <row r="977" ht="15.75" customHeight="1">
      <c r="AG977" s="1"/>
    </row>
    <row r="978" ht="15.75" customHeight="1">
      <c r="AG978" s="1"/>
    </row>
    <row r="979" ht="15.75" customHeight="1">
      <c r="AG979" s="1"/>
    </row>
    <row r="980" ht="15.75" customHeight="1">
      <c r="AG980" s="1"/>
    </row>
    <row r="981" ht="15.75" customHeight="1">
      <c r="AG981" s="1"/>
    </row>
    <row r="982" ht="15.75" customHeight="1">
      <c r="AG982" s="1"/>
    </row>
    <row r="983" ht="15.75" customHeight="1">
      <c r="AG983" s="1"/>
    </row>
    <row r="984" ht="15.75" customHeight="1">
      <c r="AG984" s="1"/>
    </row>
    <row r="985" ht="15.75" customHeight="1">
      <c r="AG985" s="1"/>
    </row>
    <row r="986" ht="15.75" customHeight="1">
      <c r="AG986" s="1"/>
    </row>
    <row r="987" ht="15.75" customHeight="1">
      <c r="AG987" s="1"/>
    </row>
    <row r="988" ht="15.75" customHeight="1">
      <c r="AG988" s="1"/>
    </row>
    <row r="989" ht="15.75" customHeight="1">
      <c r="AG989" s="1"/>
    </row>
    <row r="990" ht="15.75" customHeight="1">
      <c r="AG990" s="1"/>
    </row>
    <row r="991" ht="15.75" customHeight="1">
      <c r="AG991" s="1"/>
    </row>
    <row r="992" ht="15.75" customHeight="1">
      <c r="AG992" s="1"/>
    </row>
    <row r="993" ht="15.75" customHeight="1">
      <c r="AG993" s="1"/>
    </row>
    <row r="994" ht="15.75" customHeight="1">
      <c r="AG994" s="1"/>
    </row>
    <row r="995" ht="15.75" customHeight="1">
      <c r="AG995" s="1"/>
    </row>
    <row r="996" ht="15.75" customHeight="1">
      <c r="AG996" s="1"/>
    </row>
    <row r="997" ht="15.75" customHeight="1">
      <c r="AG997" s="1"/>
    </row>
    <row r="998" ht="15.75" customHeight="1">
      <c r="AG998" s="1"/>
    </row>
  </sheetData>
  <dataValidations>
    <dataValidation type="list" allowBlank="1" sqref="C5:AF14">
      <formula1>"P,A,S,T"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1.71"/>
    <col customWidth="1" min="3" max="3" width="11.0"/>
    <col customWidth="1" min="4" max="4" width="13.0"/>
    <col customWidth="1" min="5" max="5" width="20.0"/>
    <col customWidth="1" min="6" max="8" width="14.0"/>
    <col customWidth="1" min="9" max="9" width="12.0"/>
    <col customWidth="1" min="10" max="10" width="11.0"/>
    <col customWidth="1" min="11" max="12" width="13.0"/>
    <col customWidth="1" min="13" max="13" width="24.0"/>
    <col customWidth="1" min="14" max="26" width="8.71"/>
  </cols>
  <sheetData>
    <row r="1">
      <c r="A1" s="42" t="s">
        <v>278</v>
      </c>
    </row>
    <row r="2">
      <c r="A2" s="43" t="s">
        <v>221</v>
      </c>
    </row>
    <row r="4" ht="27.75" customHeight="1">
      <c r="A4" s="2" t="s">
        <v>1</v>
      </c>
      <c r="B4" s="2" t="s">
        <v>209</v>
      </c>
      <c r="C4" s="2" t="s">
        <v>0</v>
      </c>
      <c r="D4" s="2" t="s">
        <v>222</v>
      </c>
      <c r="E4" s="2" t="s">
        <v>223</v>
      </c>
      <c r="F4" s="66" t="s">
        <v>279</v>
      </c>
      <c r="G4" s="2" t="s">
        <v>225</v>
      </c>
      <c r="H4" s="2" t="s">
        <v>226</v>
      </c>
      <c r="I4" s="2" t="s">
        <v>227</v>
      </c>
      <c r="J4" s="2" t="s">
        <v>21</v>
      </c>
      <c r="K4" s="2" t="s">
        <v>228</v>
      </c>
      <c r="L4" s="2" t="s">
        <v>229</v>
      </c>
      <c r="M4" s="2" t="s">
        <v>5</v>
      </c>
    </row>
    <row r="5">
      <c r="A5" s="35" t="s">
        <v>119</v>
      </c>
      <c r="B5" s="49" t="s">
        <v>120</v>
      </c>
      <c r="C5" s="50" t="s">
        <v>44</v>
      </c>
      <c r="D5" s="40">
        <v>20.0</v>
      </c>
      <c r="E5" s="50">
        <v>13.0</v>
      </c>
      <c r="F5" s="68">
        <v>13.0</v>
      </c>
      <c r="G5" s="40">
        <v>260.0</v>
      </c>
      <c r="H5" s="18">
        <v>260.0</v>
      </c>
      <c r="I5" s="40">
        <v>0.0</v>
      </c>
      <c r="J5" s="50" t="s">
        <v>230</v>
      </c>
      <c r="K5" s="37"/>
      <c r="L5" s="35"/>
      <c r="M5" s="38" t="s">
        <v>126</v>
      </c>
    </row>
    <row r="6">
      <c r="A6" s="35" t="s">
        <v>128</v>
      </c>
      <c r="B6" s="49" t="s">
        <v>129</v>
      </c>
      <c r="C6" s="50" t="s">
        <v>27</v>
      </c>
      <c r="D6" s="40">
        <v>15.0</v>
      </c>
      <c r="E6" s="50">
        <v>12.0</v>
      </c>
      <c r="F6" s="68">
        <v>12.0</v>
      </c>
      <c r="G6" s="40">
        <v>180.0</v>
      </c>
      <c r="H6" s="18">
        <v>180.0</v>
      </c>
      <c r="I6" s="69">
        <v>0.0</v>
      </c>
      <c r="J6" s="68" t="s">
        <v>230</v>
      </c>
      <c r="K6" s="37"/>
      <c r="L6" s="35"/>
      <c r="M6" s="38" t="s">
        <v>133</v>
      </c>
    </row>
    <row r="7">
      <c r="A7" s="35" t="s">
        <v>135</v>
      </c>
      <c r="B7" s="49" t="s">
        <v>136</v>
      </c>
      <c r="C7" s="50" t="s">
        <v>44</v>
      </c>
      <c r="D7" s="40">
        <v>20.0</v>
      </c>
      <c r="E7" s="50">
        <v>13.0</v>
      </c>
      <c r="F7" s="68">
        <v>13.0</v>
      </c>
      <c r="G7" s="40">
        <v>260.0</v>
      </c>
      <c r="H7" s="18">
        <v>260.0</v>
      </c>
      <c r="I7" s="40">
        <v>0.0</v>
      </c>
      <c r="J7" s="50" t="s">
        <v>230</v>
      </c>
      <c r="K7" s="37"/>
      <c r="L7" s="35"/>
      <c r="M7" s="38" t="s">
        <v>126</v>
      </c>
    </row>
    <row r="8">
      <c r="A8" s="35" t="s">
        <v>141</v>
      </c>
      <c r="B8" s="49" t="s">
        <v>142</v>
      </c>
      <c r="C8" s="50" t="s">
        <v>28</v>
      </c>
      <c r="D8" s="40">
        <v>15.0</v>
      </c>
      <c r="E8" s="50">
        <v>7.0</v>
      </c>
      <c r="F8" s="68">
        <v>7.0</v>
      </c>
      <c r="G8" s="40">
        <v>105.0</v>
      </c>
      <c r="H8" s="18">
        <v>110.0</v>
      </c>
      <c r="I8" s="40">
        <v>-5.0</v>
      </c>
      <c r="J8" s="50" t="s">
        <v>230</v>
      </c>
      <c r="K8" s="37"/>
      <c r="L8" s="35"/>
      <c r="M8" s="38" t="s">
        <v>133</v>
      </c>
    </row>
    <row r="9">
      <c r="A9" s="35" t="s">
        <v>145</v>
      </c>
      <c r="B9" s="49" t="s">
        <v>146</v>
      </c>
      <c r="C9" s="50" t="s">
        <v>23</v>
      </c>
      <c r="D9" s="40">
        <v>10.0</v>
      </c>
      <c r="E9" s="50">
        <v>12.0</v>
      </c>
      <c r="F9" s="68">
        <v>12.0</v>
      </c>
      <c r="G9" s="40">
        <v>120.0</v>
      </c>
      <c r="H9" s="18">
        <v>120.0</v>
      </c>
      <c r="I9" s="40">
        <v>0.0</v>
      </c>
      <c r="J9" s="50" t="s">
        <v>230</v>
      </c>
      <c r="K9" s="37"/>
      <c r="L9" s="35"/>
      <c r="M9" s="38" t="s">
        <v>126</v>
      </c>
    </row>
    <row r="10">
      <c r="A10" s="35" t="s">
        <v>151</v>
      </c>
      <c r="B10" s="49" t="s">
        <v>152</v>
      </c>
      <c r="C10" s="50" t="s">
        <v>28</v>
      </c>
      <c r="D10" s="40">
        <v>15.0</v>
      </c>
      <c r="E10" s="50">
        <v>8.0</v>
      </c>
      <c r="F10" s="68">
        <v>8.0</v>
      </c>
      <c r="G10" s="40">
        <v>120.0</v>
      </c>
      <c r="H10" s="18">
        <v>120.0</v>
      </c>
      <c r="I10" s="40">
        <v>0.0</v>
      </c>
      <c r="J10" s="50" t="s">
        <v>230</v>
      </c>
      <c r="K10" s="37"/>
      <c r="L10" s="35"/>
      <c r="M10" s="38" t="s">
        <v>133</v>
      </c>
    </row>
    <row r="11">
      <c r="A11" s="35" t="s">
        <v>158</v>
      </c>
      <c r="B11" s="49" t="s">
        <v>159</v>
      </c>
      <c r="C11" s="50" t="s">
        <v>30</v>
      </c>
      <c r="D11" s="40">
        <v>20.0</v>
      </c>
      <c r="E11" s="50">
        <v>8.0</v>
      </c>
      <c r="F11" s="68">
        <v>8.0</v>
      </c>
      <c r="G11" s="40">
        <v>160.0</v>
      </c>
      <c r="H11" s="18">
        <v>160.0</v>
      </c>
      <c r="I11" s="40">
        <v>0.0</v>
      </c>
      <c r="J11" s="50" t="s">
        <v>230</v>
      </c>
      <c r="K11" s="37"/>
      <c r="L11" s="35"/>
      <c r="M11" s="38" t="s">
        <v>133</v>
      </c>
    </row>
    <row r="12">
      <c r="A12" s="35" t="s">
        <v>163</v>
      </c>
      <c r="B12" s="49" t="s">
        <v>164</v>
      </c>
      <c r="C12" s="50" t="s">
        <v>36</v>
      </c>
      <c r="D12" s="40">
        <v>25.0</v>
      </c>
      <c r="E12" s="50">
        <v>3.0</v>
      </c>
      <c r="F12" s="68">
        <v>3.0</v>
      </c>
      <c r="G12" s="40">
        <v>75.0</v>
      </c>
      <c r="H12" s="6">
        <v>0.0</v>
      </c>
      <c r="I12" s="40">
        <v>75.0</v>
      </c>
      <c r="J12" s="50" t="s">
        <v>280</v>
      </c>
      <c r="K12" s="37"/>
      <c r="L12" s="35"/>
      <c r="M12" s="38" t="s">
        <v>167</v>
      </c>
    </row>
    <row r="13">
      <c r="A13" s="35" t="s">
        <v>168</v>
      </c>
      <c r="B13" s="49" t="s">
        <v>174</v>
      </c>
      <c r="C13" s="50" t="s">
        <v>36</v>
      </c>
      <c r="D13" s="40">
        <v>25.0</v>
      </c>
      <c r="E13" s="50">
        <v>3.0</v>
      </c>
      <c r="F13" s="68">
        <v>3.0</v>
      </c>
      <c r="G13" s="40">
        <v>75.0</v>
      </c>
      <c r="H13" s="18">
        <v>75.0</v>
      </c>
      <c r="I13" s="40">
        <v>0.0</v>
      </c>
      <c r="J13" s="50" t="s">
        <v>230</v>
      </c>
      <c r="K13" s="37"/>
      <c r="L13" s="35"/>
      <c r="M13" s="38" t="s">
        <v>167</v>
      </c>
    </row>
    <row r="14">
      <c r="A14" s="35" t="s">
        <v>173</v>
      </c>
      <c r="B14" s="49" t="s">
        <v>177</v>
      </c>
      <c r="C14" s="50" t="s">
        <v>36</v>
      </c>
      <c r="D14" s="40">
        <v>25.0</v>
      </c>
      <c r="E14" s="50">
        <v>0.0</v>
      </c>
      <c r="F14" s="68">
        <v>0.0</v>
      </c>
      <c r="G14" s="40">
        <v>0.0</v>
      </c>
      <c r="H14" s="6">
        <v>0.0</v>
      </c>
      <c r="I14" s="40">
        <v>0.0</v>
      </c>
      <c r="J14" s="50" t="s">
        <v>281</v>
      </c>
      <c r="K14" s="37"/>
      <c r="L14" s="35"/>
      <c r="M14" s="38" t="s">
        <v>167</v>
      </c>
    </row>
    <row r="15">
      <c r="A15" s="58"/>
      <c r="B15" s="59" t="s">
        <v>232</v>
      </c>
      <c r="C15" s="58"/>
      <c r="D15" s="58"/>
      <c r="E15" s="58"/>
      <c r="F15" s="61"/>
      <c r="G15" s="61">
        <v>1355.0</v>
      </c>
      <c r="H15" s="61">
        <v>1265.0</v>
      </c>
      <c r="I15" s="61">
        <v>90.0</v>
      </c>
      <c r="J15" s="61"/>
      <c r="K15" s="58"/>
      <c r="L15" s="58"/>
      <c r="M15" s="5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ataValidations>
    <dataValidation type="list" allowBlank="1" sqref="L5:L14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65.14"/>
    <col customWidth="1" min="4" max="4" width="54.71"/>
    <col customWidth="1" min="5" max="5" width="38.57"/>
  </cols>
  <sheetData>
    <row r="1">
      <c r="A1" s="2" t="s">
        <v>1</v>
      </c>
      <c r="B1" s="2" t="s">
        <v>209</v>
      </c>
      <c r="C1" s="2" t="s">
        <v>235</v>
      </c>
      <c r="D1" s="2" t="s">
        <v>236</v>
      </c>
      <c r="E1" s="2" t="s">
        <v>237</v>
      </c>
    </row>
    <row r="2">
      <c r="A2" s="48" t="s">
        <v>119</v>
      </c>
      <c r="B2" s="49" t="s">
        <v>120</v>
      </c>
      <c r="C2" s="63" t="s">
        <v>254</v>
      </c>
      <c r="E2" s="63" t="s">
        <v>239</v>
      </c>
    </row>
    <row r="3">
      <c r="A3" s="48" t="s">
        <v>128</v>
      </c>
      <c r="B3" s="49" t="s">
        <v>129</v>
      </c>
      <c r="C3" s="63" t="s">
        <v>255</v>
      </c>
      <c r="D3" s="63" t="s">
        <v>256</v>
      </c>
      <c r="E3" s="63" t="s">
        <v>245</v>
      </c>
    </row>
    <row r="4">
      <c r="A4" s="48" t="s">
        <v>135</v>
      </c>
      <c r="B4" s="49" t="s">
        <v>136</v>
      </c>
      <c r="C4" s="63" t="s">
        <v>254</v>
      </c>
      <c r="D4" s="63" t="s">
        <v>247</v>
      </c>
      <c r="E4" s="63" t="s">
        <v>245</v>
      </c>
    </row>
    <row r="5">
      <c r="A5" s="48" t="s">
        <v>141</v>
      </c>
      <c r="B5" s="49" t="s">
        <v>142</v>
      </c>
      <c r="C5" s="63" t="s">
        <v>257</v>
      </c>
      <c r="D5" s="63" t="s">
        <v>258</v>
      </c>
      <c r="E5" s="63" t="s">
        <v>259</v>
      </c>
    </row>
    <row r="6">
      <c r="A6" s="48" t="s">
        <v>145</v>
      </c>
      <c r="B6" s="49" t="s">
        <v>146</v>
      </c>
      <c r="C6" s="63" t="s">
        <v>260</v>
      </c>
      <c r="D6" s="63" t="s">
        <v>251</v>
      </c>
      <c r="E6" s="63" t="s">
        <v>245</v>
      </c>
    </row>
    <row r="7">
      <c r="A7" s="48" t="s">
        <v>151</v>
      </c>
      <c r="B7" s="49" t="s">
        <v>152</v>
      </c>
      <c r="C7" s="63" t="s">
        <v>261</v>
      </c>
      <c r="D7" s="63" t="s">
        <v>262</v>
      </c>
    </row>
    <row r="8">
      <c r="A8" s="48" t="s">
        <v>158</v>
      </c>
      <c r="B8" s="49" t="s">
        <v>159</v>
      </c>
      <c r="C8" s="63" t="s">
        <v>263</v>
      </c>
      <c r="D8" s="63" t="s">
        <v>262</v>
      </c>
    </row>
    <row r="9">
      <c r="A9" s="48" t="s">
        <v>163</v>
      </c>
      <c r="B9" s="49" t="s">
        <v>164</v>
      </c>
    </row>
    <row r="10">
      <c r="A10" s="48" t="s">
        <v>168</v>
      </c>
      <c r="B10" s="49" t="s">
        <v>174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24.86"/>
    <col customWidth="1" min="3" max="33" width="4.71"/>
    <col customWidth="1" min="34" max="38" width="9.0"/>
  </cols>
  <sheetData>
    <row r="1">
      <c r="A1" s="42" t="s">
        <v>264</v>
      </c>
    </row>
    <row r="2">
      <c r="A2" s="43" t="s">
        <v>203</v>
      </c>
    </row>
    <row r="3">
      <c r="C3" s="44" t="s">
        <v>206</v>
      </c>
      <c r="D3" s="44" t="s">
        <v>208</v>
      </c>
      <c r="E3" s="44" t="s">
        <v>204</v>
      </c>
      <c r="F3" s="44" t="s">
        <v>204</v>
      </c>
      <c r="G3" s="44" t="s">
        <v>205</v>
      </c>
      <c r="H3" s="44" t="s">
        <v>206</v>
      </c>
      <c r="I3" s="44" t="s">
        <v>207</v>
      </c>
      <c r="J3" s="44" t="s">
        <v>206</v>
      </c>
      <c r="K3" s="44" t="s">
        <v>208</v>
      </c>
      <c r="L3" s="44" t="s">
        <v>204</v>
      </c>
      <c r="M3" s="44" t="s">
        <v>204</v>
      </c>
      <c r="N3" s="44" t="s">
        <v>205</v>
      </c>
      <c r="O3" s="44" t="s">
        <v>206</v>
      </c>
      <c r="P3" s="44" t="s">
        <v>207</v>
      </c>
      <c r="Q3" s="44" t="s">
        <v>206</v>
      </c>
      <c r="R3" s="44" t="s">
        <v>208</v>
      </c>
      <c r="S3" s="44" t="s">
        <v>204</v>
      </c>
      <c r="T3" s="44" t="s">
        <v>204</v>
      </c>
      <c r="U3" s="44" t="s">
        <v>205</v>
      </c>
      <c r="V3" s="44" t="s">
        <v>206</v>
      </c>
      <c r="W3" s="44" t="s">
        <v>207</v>
      </c>
      <c r="X3" s="44" t="s">
        <v>206</v>
      </c>
      <c r="Y3" s="44" t="s">
        <v>208</v>
      </c>
      <c r="Z3" s="44" t="s">
        <v>204</v>
      </c>
      <c r="AA3" s="44" t="s">
        <v>204</v>
      </c>
      <c r="AB3" s="44" t="s">
        <v>205</v>
      </c>
      <c r="AC3" s="44" t="s">
        <v>206</v>
      </c>
      <c r="AD3" s="44" t="s">
        <v>207</v>
      </c>
      <c r="AE3" s="44" t="s">
        <v>206</v>
      </c>
      <c r="AF3" s="44" t="s">
        <v>208</v>
      </c>
      <c r="AG3" s="44" t="s">
        <v>204</v>
      </c>
    </row>
    <row r="4" ht="25.5" customHeight="1">
      <c r="A4" s="45" t="s">
        <v>1</v>
      </c>
      <c r="B4" s="45" t="s">
        <v>209</v>
      </c>
      <c r="C4" s="45">
        <v>1.0</v>
      </c>
      <c r="D4" s="45">
        <v>2.0</v>
      </c>
      <c r="E4" s="45">
        <v>3.0</v>
      </c>
      <c r="F4" s="45">
        <v>4.0</v>
      </c>
      <c r="G4" s="45">
        <v>5.0</v>
      </c>
      <c r="H4" s="45">
        <v>6.0</v>
      </c>
      <c r="I4" s="45">
        <v>7.0</v>
      </c>
      <c r="J4" s="45">
        <v>8.0</v>
      </c>
      <c r="K4" s="45">
        <v>9.0</v>
      </c>
      <c r="L4" s="45">
        <v>10.0</v>
      </c>
      <c r="M4" s="45">
        <v>11.0</v>
      </c>
      <c r="N4" s="45">
        <v>12.0</v>
      </c>
      <c r="O4" s="45">
        <v>13.0</v>
      </c>
      <c r="P4" s="45">
        <v>14.0</v>
      </c>
      <c r="Q4" s="45">
        <v>15.0</v>
      </c>
      <c r="R4" s="45">
        <v>16.0</v>
      </c>
      <c r="S4" s="45">
        <v>17.0</v>
      </c>
      <c r="T4" s="45">
        <v>18.0</v>
      </c>
      <c r="U4" s="45">
        <v>19.0</v>
      </c>
      <c r="V4" s="45">
        <v>20.0</v>
      </c>
      <c r="W4" s="45">
        <v>21.0</v>
      </c>
      <c r="X4" s="45">
        <v>22.0</v>
      </c>
      <c r="Y4" s="45">
        <v>23.0</v>
      </c>
      <c r="Z4" s="45">
        <v>24.0</v>
      </c>
      <c r="AA4" s="45">
        <v>25.0</v>
      </c>
      <c r="AB4" s="45">
        <v>26.0</v>
      </c>
      <c r="AC4" s="45">
        <v>27.0</v>
      </c>
      <c r="AD4" s="45">
        <v>28.0</v>
      </c>
      <c r="AE4" s="45">
        <v>29.0</v>
      </c>
      <c r="AF4" s="45">
        <v>30.0</v>
      </c>
      <c r="AG4" s="45">
        <v>31.0</v>
      </c>
      <c r="AH4" s="46" t="s">
        <v>265</v>
      </c>
      <c r="AI4" s="45" t="s">
        <v>211</v>
      </c>
      <c r="AJ4" s="45" t="s">
        <v>212</v>
      </c>
      <c r="AK4" s="45" t="s">
        <v>213</v>
      </c>
      <c r="AL4" s="45" t="s">
        <v>214</v>
      </c>
    </row>
    <row r="5">
      <c r="A5" s="48" t="s">
        <v>119</v>
      </c>
      <c r="B5" s="49" t="str">
        <f t="array" ref="B5">IFERROR(INDEX(Students!$B$2:$B$106,MATCH($A5,Students!$A$2:$A$106,0)),"")</f>
        <v>Fateh</v>
      </c>
      <c r="C5" s="39" t="s">
        <v>216</v>
      </c>
      <c r="D5" s="39" t="s">
        <v>216</v>
      </c>
      <c r="E5" s="35"/>
      <c r="F5" s="35"/>
      <c r="G5" s="39" t="s">
        <v>216</v>
      </c>
      <c r="H5" s="35"/>
      <c r="I5" s="39" t="s">
        <v>204</v>
      </c>
      <c r="J5" s="39"/>
      <c r="K5" s="39" t="s">
        <v>204</v>
      </c>
      <c r="L5" s="35"/>
      <c r="M5" s="39"/>
      <c r="N5" s="39" t="s">
        <v>204</v>
      </c>
      <c r="O5" s="35"/>
      <c r="P5" s="39" t="s">
        <v>204</v>
      </c>
      <c r="Q5" s="39" t="s">
        <v>204</v>
      </c>
      <c r="R5" s="39" t="s">
        <v>204</v>
      </c>
      <c r="S5" s="35"/>
      <c r="T5" s="35"/>
      <c r="U5" s="39" t="s">
        <v>204</v>
      </c>
      <c r="V5" s="35"/>
      <c r="W5" s="39" t="s">
        <v>204</v>
      </c>
      <c r="X5" s="39" t="s">
        <v>204</v>
      </c>
      <c r="Y5" s="39" t="s">
        <v>204</v>
      </c>
      <c r="Z5" s="35"/>
      <c r="AA5" s="35"/>
      <c r="AB5" s="39" t="s">
        <v>204</v>
      </c>
      <c r="AC5" s="35"/>
      <c r="AD5" s="39"/>
      <c r="AE5" s="39" t="s">
        <v>204</v>
      </c>
      <c r="AF5" s="39" t="s">
        <v>204</v>
      </c>
      <c r="AG5" s="35"/>
      <c r="AH5" s="50">
        <f t="shared" ref="AH5:AH13" si="1">COUNTA(C5:AG5)</f>
        <v>16</v>
      </c>
      <c r="AI5" s="50">
        <f t="shared" ref="AI5:AI13" si="2">COUNTIF(C5:AG5,"P")</f>
        <v>3</v>
      </c>
      <c r="AJ5" s="50">
        <f t="shared" ref="AJ5:AJ13" si="3">COUNTIF(C5:AG5,"A")</f>
        <v>0</v>
      </c>
      <c r="AK5" s="50">
        <f t="shared" ref="AK5:AK13" si="4">AI5+AJ5</f>
        <v>3</v>
      </c>
      <c r="AL5" s="51">
        <f t="shared" ref="AL5:AL13" si="5">IFERROR(AI5/AK5,"")</f>
        <v>1</v>
      </c>
    </row>
    <row r="6">
      <c r="A6" s="48" t="s">
        <v>128</v>
      </c>
      <c r="B6" s="49" t="str">
        <f t="array" ref="B6">IFERROR(INDEX(Students!$B$2:$B$106,MATCH($A6,Students!$A$2:$A$106,0)),"")</f>
        <v>Ravjodh</v>
      </c>
      <c r="C6" s="39" t="s">
        <v>216</v>
      </c>
      <c r="D6" s="35"/>
      <c r="E6" s="35"/>
      <c r="F6" s="39"/>
      <c r="G6" s="39" t="s">
        <v>216</v>
      </c>
      <c r="H6" s="39" t="s">
        <v>216</v>
      </c>
      <c r="I6" s="35"/>
      <c r="J6" s="39" t="s">
        <v>204</v>
      </c>
      <c r="K6" s="35"/>
      <c r="L6" s="35"/>
      <c r="M6" s="39"/>
      <c r="N6" s="39" t="s">
        <v>204</v>
      </c>
      <c r="O6" s="39" t="s">
        <v>204</v>
      </c>
      <c r="P6" s="35"/>
      <c r="Q6" s="39" t="s">
        <v>204</v>
      </c>
      <c r="R6" s="35"/>
      <c r="S6" s="35"/>
      <c r="T6" s="39"/>
      <c r="U6" s="39" t="s">
        <v>204</v>
      </c>
      <c r="V6" s="39" t="s">
        <v>204</v>
      </c>
      <c r="W6" s="35"/>
      <c r="X6" s="39" t="s">
        <v>204</v>
      </c>
      <c r="Y6" s="35"/>
      <c r="Z6" s="35"/>
      <c r="AA6" s="39"/>
      <c r="AB6" s="39" t="s">
        <v>204</v>
      </c>
      <c r="AC6" s="39" t="s">
        <v>204</v>
      </c>
      <c r="AD6" s="35"/>
      <c r="AE6" s="39" t="s">
        <v>204</v>
      </c>
      <c r="AF6" s="39"/>
      <c r="AG6" s="35"/>
      <c r="AH6" s="50">
        <f t="shared" si="1"/>
        <v>13</v>
      </c>
      <c r="AI6" s="50">
        <f t="shared" si="2"/>
        <v>3</v>
      </c>
      <c r="AJ6" s="50">
        <f t="shared" si="3"/>
        <v>0</v>
      </c>
      <c r="AK6" s="50">
        <f t="shared" si="4"/>
        <v>3</v>
      </c>
      <c r="AL6" s="51">
        <f t="shared" si="5"/>
        <v>1</v>
      </c>
    </row>
    <row r="7">
      <c r="A7" s="48" t="s">
        <v>135</v>
      </c>
      <c r="B7" s="49" t="str">
        <f t="array" ref="B7">IFERROR(INDEX(Students!$B$2:$B$106,MATCH($A7,Students!$A$2:$A$106,0)),"")</f>
        <v>Alaina</v>
      </c>
      <c r="C7" s="39" t="s">
        <v>216</v>
      </c>
      <c r="D7" s="39" t="s">
        <v>216</v>
      </c>
      <c r="E7" s="35"/>
      <c r="F7" s="35"/>
      <c r="G7" s="39" t="s">
        <v>216</v>
      </c>
      <c r="H7" s="35"/>
      <c r="I7" s="39" t="s">
        <v>204</v>
      </c>
      <c r="J7" s="39"/>
      <c r="K7" s="39" t="s">
        <v>204</v>
      </c>
      <c r="L7" s="35"/>
      <c r="M7" s="35"/>
      <c r="N7" s="39" t="s">
        <v>204</v>
      </c>
      <c r="O7" s="35"/>
      <c r="P7" s="39" t="s">
        <v>204</v>
      </c>
      <c r="Q7" s="39" t="s">
        <v>204</v>
      </c>
      <c r="R7" s="39" t="s">
        <v>204</v>
      </c>
      <c r="S7" s="35"/>
      <c r="T7" s="35"/>
      <c r="U7" s="39" t="s">
        <v>204</v>
      </c>
      <c r="V7" s="35"/>
      <c r="W7" s="39" t="s">
        <v>204</v>
      </c>
      <c r="X7" s="39" t="s">
        <v>204</v>
      </c>
      <c r="Y7" s="39" t="s">
        <v>204</v>
      </c>
      <c r="Z7" s="35"/>
      <c r="AA7" s="35"/>
      <c r="AB7" s="39" t="s">
        <v>204</v>
      </c>
      <c r="AC7" s="35"/>
      <c r="AD7" s="39"/>
      <c r="AE7" s="39" t="s">
        <v>204</v>
      </c>
      <c r="AF7" s="39" t="s">
        <v>204</v>
      </c>
      <c r="AG7" s="35"/>
      <c r="AH7" s="50">
        <f t="shared" si="1"/>
        <v>16</v>
      </c>
      <c r="AI7" s="50">
        <f t="shared" si="2"/>
        <v>3</v>
      </c>
      <c r="AJ7" s="50">
        <f t="shared" si="3"/>
        <v>0</v>
      </c>
      <c r="AK7" s="50">
        <f t="shared" si="4"/>
        <v>3</v>
      </c>
      <c r="AL7" s="51">
        <f t="shared" si="5"/>
        <v>1</v>
      </c>
    </row>
    <row r="8">
      <c r="A8" s="48" t="s">
        <v>141</v>
      </c>
      <c r="B8" s="49" t="str">
        <f t="array" ref="B8">IFERROR(INDEX(Students!$B$2:$B$106,MATCH($A8,Students!$A$2:$A$106,0)),"")</f>
        <v>Kaya</v>
      </c>
      <c r="C8" s="39" t="s">
        <v>217</v>
      </c>
      <c r="D8" s="35"/>
      <c r="E8" s="35"/>
      <c r="F8" s="39"/>
      <c r="G8" s="39"/>
      <c r="H8" s="39"/>
      <c r="I8" s="35"/>
      <c r="J8" s="39" t="s">
        <v>204</v>
      </c>
      <c r="K8" s="35"/>
      <c r="L8" s="35"/>
      <c r="M8" s="39"/>
      <c r="N8" s="39"/>
      <c r="O8" s="39"/>
      <c r="P8" s="35"/>
      <c r="Q8" s="39"/>
      <c r="R8" s="35"/>
      <c r="S8" s="35"/>
      <c r="T8" s="39"/>
      <c r="U8" s="39" t="s">
        <v>204</v>
      </c>
      <c r="V8" s="39"/>
      <c r="W8" s="35"/>
      <c r="X8" s="39" t="s">
        <v>204</v>
      </c>
      <c r="Y8" s="35"/>
      <c r="Z8" s="35"/>
      <c r="AA8" s="39"/>
      <c r="AB8" s="39" t="s">
        <v>204</v>
      </c>
      <c r="AC8" s="39"/>
      <c r="AD8" s="35"/>
      <c r="AE8" s="39" t="s">
        <v>204</v>
      </c>
      <c r="AF8" s="35"/>
      <c r="AG8" s="35"/>
      <c r="AH8" s="50">
        <f t="shared" si="1"/>
        <v>6</v>
      </c>
      <c r="AI8" s="50">
        <f t="shared" si="2"/>
        <v>0</v>
      </c>
      <c r="AJ8" s="50">
        <f t="shared" si="3"/>
        <v>1</v>
      </c>
      <c r="AK8" s="50">
        <f t="shared" si="4"/>
        <v>1</v>
      </c>
      <c r="AL8" s="51">
        <f t="shared" si="5"/>
        <v>0</v>
      </c>
    </row>
    <row r="9">
      <c r="A9" s="48" t="s">
        <v>145</v>
      </c>
      <c r="B9" s="49" t="str">
        <f t="array" ref="B9">IFERROR(INDEX(Students!$B$2:$B$106,MATCH($A9,Students!$A$2:$A$106,0)),"")</f>
        <v>Gurshabd Singh Rawala</v>
      </c>
      <c r="C9" s="39" t="s">
        <v>216</v>
      </c>
      <c r="D9" s="39" t="s">
        <v>216</v>
      </c>
      <c r="E9" s="35"/>
      <c r="F9" s="35"/>
      <c r="G9" s="39" t="s">
        <v>216</v>
      </c>
      <c r="H9" s="35"/>
      <c r="I9" s="39" t="s">
        <v>204</v>
      </c>
      <c r="J9" s="39"/>
      <c r="K9" s="39" t="s">
        <v>204</v>
      </c>
      <c r="L9" s="35"/>
      <c r="M9" s="35"/>
      <c r="N9" s="39" t="s">
        <v>204</v>
      </c>
      <c r="O9" s="35"/>
      <c r="P9" s="39" t="s">
        <v>204</v>
      </c>
      <c r="Q9" s="39"/>
      <c r="R9" s="39" t="s">
        <v>204</v>
      </c>
      <c r="S9" s="35"/>
      <c r="T9" s="35"/>
      <c r="U9" s="39" t="s">
        <v>204</v>
      </c>
      <c r="V9" s="35"/>
      <c r="W9" s="39" t="s">
        <v>204</v>
      </c>
      <c r="X9" s="39"/>
      <c r="Y9" s="39" t="s">
        <v>204</v>
      </c>
      <c r="Z9" s="35"/>
      <c r="AA9" s="35"/>
      <c r="AB9" s="39" t="s">
        <v>204</v>
      </c>
      <c r="AC9" s="35"/>
      <c r="AD9" s="39"/>
      <c r="AE9" s="39" t="s">
        <v>204</v>
      </c>
      <c r="AF9" s="39" t="s">
        <v>204</v>
      </c>
      <c r="AG9" s="35"/>
      <c r="AH9" s="50">
        <f t="shared" si="1"/>
        <v>14</v>
      </c>
      <c r="AI9" s="50">
        <f t="shared" si="2"/>
        <v>3</v>
      </c>
      <c r="AJ9" s="50">
        <f t="shared" si="3"/>
        <v>0</v>
      </c>
      <c r="AK9" s="50">
        <f t="shared" si="4"/>
        <v>3</v>
      </c>
      <c r="AL9" s="51">
        <f t="shared" si="5"/>
        <v>1</v>
      </c>
    </row>
    <row r="10">
      <c r="A10" s="48" t="s">
        <v>151</v>
      </c>
      <c r="B10" s="49" t="str">
        <f t="array" ref="B10">IFERROR(INDEX(Students!$B$2:$B$106,MATCH($A10,Students!$A$2:$A$106,0)),"")</f>
        <v>Baani Purba</v>
      </c>
      <c r="C10" s="39" t="s">
        <v>216</v>
      </c>
      <c r="D10" s="35"/>
      <c r="E10" s="35"/>
      <c r="F10" s="39"/>
      <c r="G10" s="39" t="s">
        <v>216</v>
      </c>
      <c r="H10" s="39" t="s">
        <v>216</v>
      </c>
      <c r="I10" s="35"/>
      <c r="J10" s="39" t="s">
        <v>204</v>
      </c>
      <c r="K10" s="35"/>
      <c r="L10" s="35"/>
      <c r="M10" s="39"/>
      <c r="N10" s="39" t="s">
        <v>204</v>
      </c>
      <c r="O10" s="39" t="s">
        <v>204</v>
      </c>
      <c r="P10" s="35"/>
      <c r="Q10" s="39" t="s">
        <v>204</v>
      </c>
      <c r="R10" s="35"/>
      <c r="S10" s="35"/>
      <c r="T10" s="39"/>
      <c r="U10" s="39" t="s">
        <v>204</v>
      </c>
      <c r="V10" s="39" t="s">
        <v>204</v>
      </c>
      <c r="W10" s="35"/>
      <c r="X10" s="39" t="s">
        <v>204</v>
      </c>
      <c r="Y10" s="35"/>
      <c r="Z10" s="35"/>
      <c r="AA10" s="39"/>
      <c r="AB10" s="39" t="s">
        <v>204</v>
      </c>
      <c r="AC10" s="39" t="s">
        <v>204</v>
      </c>
      <c r="AD10" s="35"/>
      <c r="AE10" s="39" t="s">
        <v>204</v>
      </c>
      <c r="AF10" s="35"/>
      <c r="AG10" s="35"/>
      <c r="AH10" s="50">
        <f t="shared" si="1"/>
        <v>13</v>
      </c>
      <c r="AI10" s="50">
        <f t="shared" si="2"/>
        <v>3</v>
      </c>
      <c r="AJ10" s="50">
        <f t="shared" si="3"/>
        <v>0</v>
      </c>
      <c r="AK10" s="50">
        <f t="shared" si="4"/>
        <v>3</v>
      </c>
      <c r="AL10" s="51">
        <f t="shared" si="5"/>
        <v>1</v>
      </c>
    </row>
    <row r="11">
      <c r="A11" s="48" t="s">
        <v>158</v>
      </c>
      <c r="B11" s="49" t="str">
        <f t="array" ref="B11">IFERROR(INDEX(Students!$B$2:$B$106,MATCH($A11,Students!$A$2:$A$106,0)),"")</f>
        <v>Avneet Kaur Grewal</v>
      </c>
      <c r="C11" s="39" t="s">
        <v>216</v>
      </c>
      <c r="D11" s="35"/>
      <c r="E11" s="35"/>
      <c r="F11" s="39"/>
      <c r="G11" s="39" t="s">
        <v>216</v>
      </c>
      <c r="H11" s="39" t="s">
        <v>216</v>
      </c>
      <c r="I11" s="35"/>
      <c r="J11" s="39" t="s">
        <v>204</v>
      </c>
      <c r="K11" s="35"/>
      <c r="L11" s="35"/>
      <c r="M11" s="39"/>
      <c r="N11" s="39" t="s">
        <v>204</v>
      </c>
      <c r="O11" s="39" t="s">
        <v>204</v>
      </c>
      <c r="P11" s="35"/>
      <c r="Q11" s="39" t="s">
        <v>204</v>
      </c>
      <c r="R11" s="35"/>
      <c r="S11" s="35"/>
      <c r="T11" s="39"/>
      <c r="U11" s="39" t="s">
        <v>204</v>
      </c>
      <c r="V11" s="39" t="s">
        <v>204</v>
      </c>
      <c r="W11" s="35"/>
      <c r="X11" s="39" t="s">
        <v>204</v>
      </c>
      <c r="Y11" s="35"/>
      <c r="Z11" s="35"/>
      <c r="AA11" s="39"/>
      <c r="AB11" s="39" t="s">
        <v>204</v>
      </c>
      <c r="AC11" s="39" t="s">
        <v>204</v>
      </c>
      <c r="AD11" s="35"/>
      <c r="AE11" s="39" t="s">
        <v>204</v>
      </c>
      <c r="AF11" s="35"/>
      <c r="AG11" s="35"/>
      <c r="AH11" s="50">
        <f t="shared" si="1"/>
        <v>13</v>
      </c>
      <c r="AI11" s="50">
        <f t="shared" si="2"/>
        <v>3</v>
      </c>
      <c r="AJ11" s="50">
        <f t="shared" si="3"/>
        <v>0</v>
      </c>
      <c r="AK11" s="50">
        <f t="shared" si="4"/>
        <v>3</v>
      </c>
      <c r="AL11" s="51">
        <f t="shared" si="5"/>
        <v>1</v>
      </c>
    </row>
    <row r="12">
      <c r="A12" s="48" t="s">
        <v>163</v>
      </c>
      <c r="B12" s="49" t="str">
        <f t="array" ref="B12">IFERROR(INDEX(Students!$B$2:$B$106,MATCH($A12,Students!$A$2:$A$106,0)),"")</f>
        <v>Tanisha</v>
      </c>
      <c r="C12" s="65"/>
      <c r="D12" s="35"/>
      <c r="E12" s="39"/>
      <c r="F12" s="39"/>
      <c r="G12" s="39"/>
      <c r="H12" s="39"/>
      <c r="I12" s="39" t="s">
        <v>204</v>
      </c>
      <c r="J12" s="35"/>
      <c r="K12" s="35"/>
      <c r="L12" s="39"/>
      <c r="M12" s="39"/>
      <c r="N12" s="35"/>
      <c r="O12" s="39"/>
      <c r="P12" s="39" t="s">
        <v>204</v>
      </c>
      <c r="Q12" s="35"/>
      <c r="R12" s="35"/>
      <c r="S12" s="39"/>
      <c r="T12" s="39"/>
      <c r="U12" s="35"/>
      <c r="V12" s="39"/>
      <c r="W12" s="35"/>
      <c r="X12" s="35"/>
      <c r="Y12" s="39" t="s">
        <v>204</v>
      </c>
      <c r="Z12" s="39"/>
      <c r="AA12" s="39"/>
      <c r="AB12" s="35"/>
      <c r="AC12" s="39"/>
      <c r="AD12" s="35"/>
      <c r="AE12" s="35"/>
      <c r="AF12" s="39" t="s">
        <v>204</v>
      </c>
      <c r="AG12" s="39"/>
      <c r="AH12" s="50">
        <f t="shared" si="1"/>
        <v>4</v>
      </c>
      <c r="AI12" s="50">
        <f t="shared" si="2"/>
        <v>0</v>
      </c>
      <c r="AJ12" s="50">
        <f t="shared" si="3"/>
        <v>0</v>
      </c>
      <c r="AK12" s="50">
        <f t="shared" si="4"/>
        <v>0</v>
      </c>
      <c r="AL12" s="51" t="str">
        <f t="shared" si="5"/>
        <v/>
      </c>
    </row>
    <row r="13">
      <c r="A13" s="48" t="s">
        <v>168</v>
      </c>
      <c r="B13" s="49" t="str">
        <f t="array" ref="B13">IFERROR(INDEX(Students!$B$2:$B$106,MATCH($A13,Students!$A$2:$A$106,0)),"")</f>
        <v>xyz</v>
      </c>
      <c r="C13" s="39"/>
      <c r="D13" s="35"/>
      <c r="E13" s="39"/>
      <c r="F13" s="39"/>
      <c r="G13" s="39"/>
      <c r="H13" s="39"/>
      <c r="I13" s="39"/>
      <c r="J13" s="35"/>
      <c r="K13" s="39"/>
      <c r="L13" s="39"/>
      <c r="M13" s="39"/>
      <c r="N13" s="39"/>
      <c r="O13" s="35"/>
      <c r="P13" s="39"/>
      <c r="Q13" s="39"/>
      <c r="R13" s="39"/>
      <c r="S13" s="35"/>
      <c r="T13" s="35"/>
      <c r="U13" s="39" t="s">
        <v>204</v>
      </c>
      <c r="V13" s="35"/>
      <c r="W13" s="39" t="s">
        <v>204</v>
      </c>
      <c r="X13" s="39"/>
      <c r="Y13" s="39" t="s">
        <v>204</v>
      </c>
      <c r="Z13" s="35"/>
      <c r="AA13" s="35"/>
      <c r="AB13" s="39" t="s">
        <v>204</v>
      </c>
      <c r="AC13" s="35"/>
      <c r="AD13" s="39"/>
      <c r="AE13" s="39" t="s">
        <v>204</v>
      </c>
      <c r="AF13" s="39" t="s">
        <v>204</v>
      </c>
      <c r="AG13" s="35"/>
      <c r="AH13" s="50">
        <f t="shared" si="1"/>
        <v>6</v>
      </c>
      <c r="AI13" s="50">
        <f t="shared" si="2"/>
        <v>0</v>
      </c>
      <c r="AJ13" s="50">
        <f t="shared" si="3"/>
        <v>0</v>
      </c>
      <c r="AK13" s="50">
        <f t="shared" si="4"/>
        <v>0</v>
      </c>
      <c r="AL13" s="51" t="str">
        <f t="shared" si="5"/>
        <v/>
      </c>
    </row>
    <row r="14">
      <c r="B14" s="49" t="str">
        <f t="array" ref="B14">IFERROR(INDEX(Students!$B$2:$B$106,MATCH($A14,Students!$A$2:$A$106,0)),"")</f>
        <v/>
      </c>
    </row>
    <row r="19" ht="15.75" customHeight="1"/>
    <row r="20" ht="15.75" customHeight="1"/>
    <row r="21" ht="15.75" customHeight="1">
      <c r="T21" s="63" t="s">
        <v>266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qref="C5:AG13">
      <formula1>"P,A,S"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27.86"/>
    <col customWidth="1" min="3" max="3" width="11.0"/>
    <col customWidth="1" min="4" max="4" width="13.0"/>
    <col customWidth="1" min="5" max="5" width="20.0"/>
    <col customWidth="1" min="6" max="8" width="14.0"/>
    <col customWidth="1" min="9" max="9" width="12.0"/>
    <col customWidth="1" min="10" max="10" width="11.0"/>
    <col customWidth="1" min="11" max="12" width="13.0"/>
    <col customWidth="1" min="13" max="13" width="24.0"/>
    <col customWidth="1" min="14" max="27" width="8.71"/>
  </cols>
  <sheetData>
    <row r="1">
      <c r="A1" s="42" t="s">
        <v>267</v>
      </c>
    </row>
    <row r="2">
      <c r="A2" s="43" t="s">
        <v>221</v>
      </c>
    </row>
    <row r="4" ht="27.75" customHeight="1">
      <c r="A4" s="2" t="s">
        <v>1</v>
      </c>
      <c r="B4" s="2" t="s">
        <v>209</v>
      </c>
      <c r="C4" s="2" t="s">
        <v>0</v>
      </c>
      <c r="D4" s="2" t="s">
        <v>222</v>
      </c>
      <c r="E4" s="2" t="s">
        <v>223</v>
      </c>
      <c r="F4" s="66" t="s">
        <v>268</v>
      </c>
      <c r="G4" s="2" t="s">
        <v>225</v>
      </c>
      <c r="H4" s="2" t="s">
        <v>226</v>
      </c>
      <c r="I4" s="2" t="s">
        <v>227</v>
      </c>
      <c r="J4" s="2" t="s">
        <v>21</v>
      </c>
      <c r="K4" s="2" t="s">
        <v>228</v>
      </c>
      <c r="L4" s="2" t="s">
        <v>229</v>
      </c>
      <c r="M4" s="2" t="s">
        <v>5</v>
      </c>
    </row>
    <row r="5" ht="16.5" customHeight="1">
      <c r="A5" s="35" t="s">
        <v>119</v>
      </c>
      <c r="B5" s="49" t="str">
        <f t="array" ref="B5">IFERROR(INDEX(Students!$B$2:$B$106,MATCH($A5,Students!$A$2:$A$106,0)),"")</f>
        <v>Fateh</v>
      </c>
      <c r="C5" s="50" t="str">
        <f t="array" ref="C5">IFERROR(INDEX(Students!$D$2:$D$106,MATCH($A5,Students!$A$2:$A$106,0)),"")</f>
        <v>Grade 7</v>
      </c>
      <c r="D5" s="40">
        <f t="array" ref="D5">IFERROR(INDEX(Students!$O$2:$O$106,MATCH($A5,Students!$A$2:$A$106,0)),0)</f>
        <v>20</v>
      </c>
      <c r="E5" s="50">
        <f t="array" ref="E5">IFERROR(INDEX('Attendance Oct 2026'!$AK$5:$AK$98,MATCH($A5,'Attendance Oct 2026'!$A$5:$A$98,0)),0)</f>
        <v>3</v>
      </c>
      <c r="F5" s="67">
        <f>vlookup(A5,'Attendance Oct 2026'!A:AH,34,0)</f>
        <v>16</v>
      </c>
      <c r="G5" s="40">
        <f t="shared" ref="G5:G13" si="1">D5*F5</f>
        <v>320</v>
      </c>
      <c r="H5" s="6">
        <v>0.0</v>
      </c>
      <c r="I5" s="40">
        <f t="shared" ref="I5:I13" si="2">G5-H5</f>
        <v>320</v>
      </c>
      <c r="J5" s="50" t="str">
        <f t="shared" ref="J5:J13" si="3">IF(G5=0,"—",IF(H5&gt;=G5,"Paid",IF(H5=0,"Unpaid","Partial")))</f>
        <v>Unpaid</v>
      </c>
      <c r="K5" s="37"/>
      <c r="L5" s="35"/>
      <c r="M5" s="36"/>
    </row>
    <row r="6">
      <c r="A6" s="35" t="s">
        <v>128</v>
      </c>
      <c r="B6" s="49" t="str">
        <f t="array" ref="B6">IFERROR(INDEX(Students!$B$2:$B$106,MATCH($A6,Students!$A$2:$A$106,0)),"")</f>
        <v>Ravjodh</v>
      </c>
      <c r="C6" s="50" t="str">
        <f t="array" ref="C6">IFERROR(INDEX(Students!$D$2:$D$106,MATCH($A6,Students!$A$2:$A$106,0)),"")</f>
        <v>Grade 2</v>
      </c>
      <c r="D6" s="40">
        <f t="array" ref="D6">IFERROR(INDEX(Students!$O$2:$O$106,MATCH($A6,Students!$A$2:$A$106,0)),0)</f>
        <v>15</v>
      </c>
      <c r="E6" s="50">
        <f t="array" ref="E6">IFERROR(INDEX('Attendance Oct 2026'!$AK$5:$AK$98,MATCH($A6,'Attendance Oct 2026'!$A$5:$A$98,0)),0)</f>
        <v>3</v>
      </c>
      <c r="F6" s="67">
        <f>vlookup(A6,'Attendance Oct 2026'!A:AH,34,0)</f>
        <v>13</v>
      </c>
      <c r="G6" s="40">
        <f t="shared" si="1"/>
        <v>195</v>
      </c>
      <c r="H6" s="18">
        <v>80.0</v>
      </c>
      <c r="I6" s="40">
        <f t="shared" si="2"/>
        <v>115</v>
      </c>
      <c r="J6" s="50" t="str">
        <f t="shared" si="3"/>
        <v>Partial</v>
      </c>
      <c r="K6" s="41">
        <v>46300.0</v>
      </c>
      <c r="L6" s="39" t="s">
        <v>231</v>
      </c>
      <c r="M6" s="38" t="s">
        <v>269</v>
      </c>
    </row>
    <row r="7">
      <c r="A7" s="35" t="s">
        <v>135</v>
      </c>
      <c r="B7" s="49" t="str">
        <f t="array" ref="B7">IFERROR(INDEX(Students!$B$2:$B$106,MATCH($A7,Students!$A$2:$A$106,0)),"")</f>
        <v>Alaina</v>
      </c>
      <c r="C7" s="50" t="str">
        <f t="array" ref="C7">IFERROR(INDEX(Students!$D$2:$D$106,MATCH($A7,Students!$A$2:$A$106,0)),"")</f>
        <v>Grade 7</v>
      </c>
      <c r="D7" s="40">
        <f t="array" ref="D7">IFERROR(INDEX(Students!$O$2:$O$106,MATCH($A7,Students!$A$2:$A$106,0)),0)</f>
        <v>20</v>
      </c>
      <c r="E7" s="50">
        <f t="array" ref="E7">IFERROR(INDEX('Attendance Oct 2026'!$AK$5:$AK$98,MATCH($A7,'Attendance Oct 2026'!$A$5:$A$98,0)),0)</f>
        <v>3</v>
      </c>
      <c r="F7" s="67">
        <f>vlookup(A7,'Attendance Oct 2026'!A:AH,34,0)</f>
        <v>16</v>
      </c>
      <c r="G7" s="40">
        <f t="shared" si="1"/>
        <v>320</v>
      </c>
      <c r="H7" s="6">
        <v>0.0</v>
      </c>
      <c r="I7" s="40">
        <f t="shared" si="2"/>
        <v>320</v>
      </c>
      <c r="J7" s="50" t="str">
        <f t="shared" si="3"/>
        <v>Unpaid</v>
      </c>
      <c r="K7" s="37"/>
      <c r="L7" s="35"/>
      <c r="M7" s="36"/>
    </row>
    <row r="8">
      <c r="A8" s="35" t="s">
        <v>141</v>
      </c>
      <c r="B8" s="49" t="str">
        <f t="array" ref="B8">IFERROR(INDEX(Students!$B$2:$B$106,MATCH($A8,Students!$A$2:$A$106,0)),"")</f>
        <v>Kaya</v>
      </c>
      <c r="C8" s="50" t="str">
        <f t="array" ref="C8">IFERROR(INDEX(Students!$D$2:$D$106,MATCH($A8,Students!$A$2:$A$106,0)),"")</f>
        <v>Grade 3</v>
      </c>
      <c r="D8" s="40">
        <f t="array" ref="D8">IFERROR(INDEX(Students!$O$2:$O$106,MATCH($A8,Students!$A$2:$A$106,0)),0)</f>
        <v>15</v>
      </c>
      <c r="E8" s="50">
        <f t="array" ref="E8">IFERROR(INDEX('Attendance Oct 2026'!$AK$5:$AK$98,MATCH($A8,'Attendance Oct 2026'!$A$5:$A$98,0)),0)</f>
        <v>1</v>
      </c>
      <c r="F8" s="67">
        <f>vlookup(A8,'Attendance Oct 2026'!A:AH,34,0)</f>
        <v>6</v>
      </c>
      <c r="G8" s="40">
        <f t="shared" si="1"/>
        <v>90</v>
      </c>
      <c r="H8" s="18">
        <v>5.0</v>
      </c>
      <c r="I8" s="40">
        <f t="shared" si="2"/>
        <v>85</v>
      </c>
      <c r="J8" s="50" t="str">
        <f t="shared" si="3"/>
        <v>Partial</v>
      </c>
      <c r="K8" s="37"/>
      <c r="L8" s="35"/>
      <c r="M8" s="38"/>
    </row>
    <row r="9">
      <c r="A9" s="35" t="s">
        <v>145</v>
      </c>
      <c r="B9" s="49" t="str">
        <f t="array" ref="B9">IFERROR(INDEX(Students!$B$2:$B$106,MATCH($A9,Students!$A$2:$A$106,0)),"")</f>
        <v>Gurshabd Singh Rawala</v>
      </c>
      <c r="C9" s="50" t="str">
        <f t="array" ref="C9">IFERROR(INDEX(Students!$D$2:$D$106,MATCH($A9,Students!$A$2:$A$106,0)),"")</f>
        <v>SK</v>
      </c>
      <c r="D9" s="40">
        <f t="array" ref="D9">IFERROR(INDEX(Students!$O$2:$O$106,MATCH($A9,Students!$A$2:$A$106,0)),0)</f>
        <v>10</v>
      </c>
      <c r="E9" s="50">
        <f t="array" ref="E9">IFERROR(INDEX('Attendance Oct 2026'!$AK$5:$AK$98,MATCH($A9,'Attendance Oct 2026'!$A$5:$A$98,0)),0)</f>
        <v>3</v>
      </c>
      <c r="F9" s="67">
        <f>vlookup(A9,'Attendance Oct 2026'!A:AH,34,0)</f>
        <v>14</v>
      </c>
      <c r="G9" s="40">
        <f t="shared" si="1"/>
        <v>140</v>
      </c>
      <c r="H9" s="6">
        <v>0.0</v>
      </c>
      <c r="I9" s="40">
        <f t="shared" si="2"/>
        <v>140</v>
      </c>
      <c r="J9" s="50" t="str">
        <f t="shared" si="3"/>
        <v>Unpaid</v>
      </c>
      <c r="K9" s="37"/>
      <c r="L9" s="35"/>
      <c r="M9" s="36"/>
    </row>
    <row r="10">
      <c r="A10" s="35" t="s">
        <v>151</v>
      </c>
      <c r="B10" s="49" t="str">
        <f t="array" ref="B10">IFERROR(INDEX(Students!$B$2:$B$106,MATCH($A10,Students!$A$2:$A$106,0)),"")</f>
        <v>Baani Purba</v>
      </c>
      <c r="C10" s="50" t="str">
        <f t="array" ref="C10">IFERROR(INDEX(Students!$D$2:$D$106,MATCH($A10,Students!$A$2:$A$106,0)),"")</f>
        <v>Grade 3</v>
      </c>
      <c r="D10" s="40">
        <f t="array" ref="D10">IFERROR(INDEX(Students!$O$2:$O$106,MATCH($A10,Students!$A$2:$A$106,0)),0)</f>
        <v>15</v>
      </c>
      <c r="E10" s="50">
        <f t="array" ref="E10">IFERROR(INDEX('Attendance Oct 2026'!$AK$5:$AK$98,MATCH($A10,'Attendance Oct 2026'!$A$5:$A$98,0)),0)</f>
        <v>3</v>
      </c>
      <c r="F10" s="67">
        <f>vlookup(A10,'Attendance Oct 2026'!A:AH,34,0)</f>
        <v>13</v>
      </c>
      <c r="G10" s="40">
        <f t="shared" si="1"/>
        <v>195</v>
      </c>
      <c r="H10" s="18">
        <v>195.0</v>
      </c>
      <c r="I10" s="40">
        <f t="shared" si="2"/>
        <v>0</v>
      </c>
      <c r="J10" s="50" t="str">
        <f t="shared" si="3"/>
        <v>Paid</v>
      </c>
      <c r="K10" s="41">
        <v>46301.0</v>
      </c>
      <c r="L10" s="39" t="s">
        <v>231</v>
      </c>
      <c r="M10" s="36"/>
    </row>
    <row r="11">
      <c r="A11" s="35" t="s">
        <v>158</v>
      </c>
      <c r="B11" s="49" t="str">
        <f t="array" ref="B11">IFERROR(INDEX(Students!$B$2:$B$106,MATCH($A11,Students!$A$2:$A$106,0)),"")</f>
        <v>Avneet Kaur Grewal</v>
      </c>
      <c r="C11" s="50" t="str">
        <f t="array" ref="C11">IFERROR(INDEX(Students!$D$2:$D$106,MATCH($A11,Students!$A$2:$A$106,0)),"")</f>
        <v>Grade 5</v>
      </c>
      <c r="D11" s="40">
        <f t="array" ref="D11">IFERROR(INDEX(Students!$O$2:$O$106,MATCH($A11,Students!$A$2:$A$106,0)),0)</f>
        <v>20</v>
      </c>
      <c r="E11" s="50">
        <f t="array" ref="E11">IFERROR(INDEX('Attendance Oct 2026'!$AK$5:$AK$98,MATCH($A11,'Attendance Oct 2026'!$A$5:$A$98,0)),0)</f>
        <v>3</v>
      </c>
      <c r="F11" s="67">
        <f>vlookup(A11,'Attendance Oct 2026'!A:AH,34,0)</f>
        <v>13</v>
      </c>
      <c r="G11" s="40">
        <f t="shared" si="1"/>
        <v>260</v>
      </c>
      <c r="H11" s="18">
        <v>260.0</v>
      </c>
      <c r="I11" s="40">
        <f t="shared" si="2"/>
        <v>0</v>
      </c>
      <c r="J11" s="50" t="str">
        <f t="shared" si="3"/>
        <v>Paid</v>
      </c>
      <c r="K11" s="41">
        <v>46301.0</v>
      </c>
      <c r="L11" s="39" t="s">
        <v>231</v>
      </c>
      <c r="M11" s="36"/>
    </row>
    <row r="12">
      <c r="A12" s="35" t="s">
        <v>163</v>
      </c>
      <c r="B12" s="49" t="str">
        <f t="array" ref="B12">IFERROR(INDEX(Students!$B$2:$B$106,MATCH($A12,Students!$A$2:$A$106,0)),"")</f>
        <v>Tanisha</v>
      </c>
      <c r="C12" s="50" t="str">
        <f t="array" ref="C12">IFERROR(INDEX(Students!$D$2:$D$106,MATCH($A12,Students!$A$2:$A$106,0)),"")</f>
        <v>Coding</v>
      </c>
      <c r="D12" s="40">
        <f t="array" ref="D12">IFERROR(INDEX(Students!$O$2:$O$106,MATCH($A12,Students!$A$2:$A$106,0)),0)</f>
        <v>25</v>
      </c>
      <c r="E12" s="50">
        <f t="array" ref="E12">IFERROR(INDEX('Attendance Oct 2026'!$AK$5:$AK$98,MATCH($A12,'Attendance Oct 2026'!$A$5:$A$98,0)),0)</f>
        <v>0</v>
      </c>
      <c r="F12" s="67">
        <f>vlookup(A12,'Attendance Oct 2026'!A:AH,34,0)</f>
        <v>4</v>
      </c>
      <c r="G12" s="40">
        <f t="shared" si="1"/>
        <v>100</v>
      </c>
      <c r="H12" s="6">
        <v>0.0</v>
      </c>
      <c r="I12" s="40">
        <f t="shared" si="2"/>
        <v>100</v>
      </c>
      <c r="J12" s="50" t="str">
        <f t="shared" si="3"/>
        <v>Unpaid</v>
      </c>
      <c r="K12" s="37"/>
      <c r="L12" s="35"/>
      <c r="M12" s="36"/>
    </row>
    <row r="13">
      <c r="A13" s="35" t="s">
        <v>168</v>
      </c>
      <c r="B13" s="49" t="str">
        <f t="array" ref="B13">IFERROR(INDEX(Students!$B$2:$B$106,MATCH($A13,Students!$A$2:$A$106,0)),"")</f>
        <v>xyz</v>
      </c>
      <c r="C13" s="50" t="str">
        <f t="array" ref="C13">IFERROR(INDEX(Students!$D$2:$D$106,MATCH($A13,Students!$A$2:$A$106,0)),"")</f>
        <v>Grade 2</v>
      </c>
      <c r="D13" s="40">
        <f t="array" ref="D13">IFERROR(INDEX(Students!$O$2:$O$106,MATCH($A13,Students!$A$2:$A$106,0)),0)</f>
        <v>15</v>
      </c>
      <c r="E13" s="50">
        <f t="array" ref="E13">IFERROR(INDEX('Attendance Oct 2026'!$AK$5:$AK$98,MATCH($A13,'Attendance Oct 2026'!$A$5:$A$98,0)),0)</f>
        <v>0</v>
      </c>
      <c r="F13" s="67">
        <f>vlookup(A13,'Attendance Oct 2026'!A:AH,34,0)</f>
        <v>6</v>
      </c>
      <c r="G13" s="40">
        <f t="shared" si="1"/>
        <v>90</v>
      </c>
      <c r="H13" s="6">
        <v>0.0</v>
      </c>
      <c r="I13" s="40">
        <f t="shared" si="2"/>
        <v>90</v>
      </c>
      <c r="J13" s="50" t="str">
        <f t="shared" si="3"/>
        <v>Unpaid</v>
      </c>
      <c r="K13" s="37"/>
      <c r="L13" s="35"/>
      <c r="M13" s="36"/>
    </row>
    <row r="14">
      <c r="A14" s="58"/>
      <c r="B14" s="59" t="s">
        <v>232</v>
      </c>
      <c r="C14" s="58"/>
      <c r="D14" s="58"/>
      <c r="E14" s="58"/>
      <c r="F14" s="61"/>
      <c r="G14" s="61">
        <f t="shared" ref="G14:I14" si="4">SUM(G5:G13)</f>
        <v>1710</v>
      </c>
      <c r="H14" s="61">
        <f t="shared" si="4"/>
        <v>540</v>
      </c>
      <c r="I14" s="61">
        <f t="shared" si="4"/>
        <v>1170</v>
      </c>
      <c r="J14" s="58"/>
      <c r="K14" s="58"/>
      <c r="L14" s="58"/>
      <c r="M14" s="5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dataValidations>
    <dataValidation type="list" allowBlank="1" sqref="L5:L13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165.14"/>
    <col customWidth="1" min="4" max="4" width="54.71"/>
    <col customWidth="1" min="5" max="5" width="38.57"/>
  </cols>
  <sheetData>
    <row r="1">
      <c r="A1" s="2" t="s">
        <v>1</v>
      </c>
      <c r="B1" s="2" t="s">
        <v>209</v>
      </c>
      <c r="C1" s="2" t="s">
        <v>235</v>
      </c>
      <c r="D1" s="2" t="s">
        <v>236</v>
      </c>
      <c r="E1" s="2" t="s">
        <v>237</v>
      </c>
    </row>
    <row r="2">
      <c r="A2" s="48" t="s">
        <v>119</v>
      </c>
      <c r="B2" s="49" t="s">
        <v>120</v>
      </c>
      <c r="C2" s="63" t="s">
        <v>270</v>
      </c>
      <c r="E2" s="63" t="s">
        <v>239</v>
      </c>
    </row>
    <row r="3">
      <c r="A3" s="48" t="s">
        <v>128</v>
      </c>
      <c r="B3" s="49" t="s">
        <v>129</v>
      </c>
      <c r="C3" s="63" t="s">
        <v>271</v>
      </c>
      <c r="E3" s="63" t="s">
        <v>245</v>
      </c>
    </row>
    <row r="4">
      <c r="A4" s="48" t="s">
        <v>135</v>
      </c>
      <c r="B4" s="49" t="s">
        <v>136</v>
      </c>
      <c r="C4" s="63" t="s">
        <v>270</v>
      </c>
      <c r="E4" s="63" t="s">
        <v>245</v>
      </c>
    </row>
    <row r="5">
      <c r="A5" s="48" t="s">
        <v>141</v>
      </c>
      <c r="B5" s="49" t="s">
        <v>142</v>
      </c>
      <c r="E5" s="63" t="s">
        <v>259</v>
      </c>
    </row>
    <row r="6">
      <c r="A6" s="48" t="s">
        <v>145</v>
      </c>
      <c r="B6" s="49" t="s">
        <v>146</v>
      </c>
      <c r="C6" s="63" t="s">
        <v>272</v>
      </c>
      <c r="E6" s="63" t="s">
        <v>245</v>
      </c>
    </row>
    <row r="7">
      <c r="A7" s="48" t="s">
        <v>151</v>
      </c>
      <c r="B7" s="49" t="s">
        <v>152</v>
      </c>
      <c r="C7" s="63" t="s">
        <v>273</v>
      </c>
    </row>
    <row r="8">
      <c r="A8" s="48" t="s">
        <v>158</v>
      </c>
      <c r="B8" s="49" t="s">
        <v>159</v>
      </c>
      <c r="C8" s="63" t="s">
        <v>274</v>
      </c>
    </row>
    <row r="9">
      <c r="A9" s="48" t="s">
        <v>163</v>
      </c>
      <c r="B9" s="49" t="s">
        <v>164</v>
      </c>
    </row>
    <row r="10">
      <c r="A10" s="48" t="s">
        <v>168</v>
      </c>
      <c r="B10" s="49" t="s">
        <v>174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2" width="3.43"/>
    <col customWidth="1" min="33" max="36" width="9.0"/>
  </cols>
  <sheetData>
    <row r="1">
      <c r="A1" s="42" t="s">
        <v>275</v>
      </c>
    </row>
    <row r="2">
      <c r="A2" s="43" t="s">
        <v>203</v>
      </c>
    </row>
    <row r="3">
      <c r="C3" s="44" t="s">
        <v>204</v>
      </c>
      <c r="D3" s="44" t="s">
        <v>205</v>
      </c>
      <c r="E3" s="44" t="s">
        <v>206</v>
      </c>
      <c r="F3" s="44" t="s">
        <v>207</v>
      </c>
      <c r="G3" s="44" t="s">
        <v>206</v>
      </c>
      <c r="H3" s="44" t="s">
        <v>208</v>
      </c>
      <c r="I3" s="44" t="s">
        <v>204</v>
      </c>
      <c r="J3" s="44" t="s">
        <v>204</v>
      </c>
      <c r="K3" s="44" t="s">
        <v>205</v>
      </c>
      <c r="L3" s="44" t="s">
        <v>206</v>
      </c>
      <c r="M3" s="44" t="s">
        <v>207</v>
      </c>
      <c r="N3" s="44" t="s">
        <v>206</v>
      </c>
      <c r="O3" s="44" t="s">
        <v>208</v>
      </c>
      <c r="P3" s="44" t="s">
        <v>204</v>
      </c>
      <c r="Q3" s="44" t="s">
        <v>204</v>
      </c>
      <c r="R3" s="44" t="s">
        <v>205</v>
      </c>
      <c r="S3" s="44" t="s">
        <v>206</v>
      </c>
      <c r="T3" s="44" t="s">
        <v>207</v>
      </c>
      <c r="U3" s="44" t="s">
        <v>206</v>
      </c>
      <c r="V3" s="44" t="s">
        <v>208</v>
      </c>
      <c r="W3" s="44" t="s">
        <v>204</v>
      </c>
      <c r="X3" s="44" t="s">
        <v>204</v>
      </c>
      <c r="Y3" s="44" t="s">
        <v>205</v>
      </c>
      <c r="Z3" s="44" t="s">
        <v>206</v>
      </c>
      <c r="AA3" s="44" t="s">
        <v>207</v>
      </c>
      <c r="AB3" s="44" t="s">
        <v>206</v>
      </c>
      <c r="AC3" s="44" t="s">
        <v>208</v>
      </c>
      <c r="AD3" s="44" t="s">
        <v>204</v>
      </c>
      <c r="AE3" s="44" t="s">
        <v>204</v>
      </c>
      <c r="AF3" s="44" t="s">
        <v>205</v>
      </c>
    </row>
    <row r="4" ht="25.5" customHeight="1">
      <c r="A4" s="45" t="s">
        <v>1</v>
      </c>
      <c r="B4" s="45" t="s">
        <v>209</v>
      </c>
      <c r="C4" s="45">
        <v>1.0</v>
      </c>
      <c r="D4" s="45">
        <v>2.0</v>
      </c>
      <c r="E4" s="45">
        <v>3.0</v>
      </c>
      <c r="F4" s="45">
        <v>4.0</v>
      </c>
      <c r="G4" s="45">
        <v>5.0</v>
      </c>
      <c r="H4" s="45">
        <v>6.0</v>
      </c>
      <c r="I4" s="45">
        <v>7.0</v>
      </c>
      <c r="J4" s="45">
        <v>8.0</v>
      </c>
      <c r="K4" s="45">
        <v>9.0</v>
      </c>
      <c r="L4" s="45">
        <v>10.0</v>
      </c>
      <c r="M4" s="45">
        <v>11.0</v>
      </c>
      <c r="N4" s="45">
        <v>12.0</v>
      </c>
      <c r="O4" s="45">
        <v>13.0</v>
      </c>
      <c r="P4" s="45">
        <v>14.0</v>
      </c>
      <c r="Q4" s="45">
        <v>15.0</v>
      </c>
      <c r="R4" s="45">
        <v>16.0</v>
      </c>
      <c r="S4" s="45">
        <v>17.0</v>
      </c>
      <c r="T4" s="45">
        <v>18.0</v>
      </c>
      <c r="U4" s="45">
        <v>19.0</v>
      </c>
      <c r="V4" s="45">
        <v>20.0</v>
      </c>
      <c r="W4" s="45">
        <v>21.0</v>
      </c>
      <c r="X4" s="45">
        <v>22.0</v>
      </c>
      <c r="Y4" s="45">
        <v>23.0</v>
      </c>
      <c r="Z4" s="45">
        <v>24.0</v>
      </c>
      <c r="AA4" s="45">
        <v>25.0</v>
      </c>
      <c r="AB4" s="45">
        <v>26.0</v>
      </c>
      <c r="AC4" s="45">
        <v>27.0</v>
      </c>
      <c r="AD4" s="45">
        <v>28.0</v>
      </c>
      <c r="AE4" s="45">
        <v>29.0</v>
      </c>
      <c r="AF4" s="45">
        <v>30.0</v>
      </c>
      <c r="AG4" s="45" t="s">
        <v>211</v>
      </c>
      <c r="AH4" s="45" t="s">
        <v>212</v>
      </c>
      <c r="AI4" s="45" t="s">
        <v>213</v>
      </c>
      <c r="AJ4" s="45" t="s">
        <v>214</v>
      </c>
    </row>
    <row r="5">
      <c r="A5" s="48" t="s">
        <v>119</v>
      </c>
      <c r="B5" s="49" t="str">
        <f t="array" ref="B5">IFERROR(INDEX(Students!$B$2:$B$106,MATCH($A5,Students!$A$2:$A$106,0)),"")</f>
        <v>Fateh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50">
        <f t="shared" ref="AG5:AG13" si="1">COUNTIF(C5:AF5,"P")</f>
        <v>0</v>
      </c>
      <c r="AH5" s="50">
        <f t="shared" ref="AH5:AH13" si="2">COUNTIF(C5:AF5,"A")</f>
        <v>0</v>
      </c>
      <c r="AI5" s="50">
        <f t="shared" ref="AI5:AI13" si="3">AG5+AH5</f>
        <v>0</v>
      </c>
      <c r="AJ5" s="51" t="str">
        <f t="shared" ref="AJ5:AJ13" si="4">IFERROR(AG5/AI5,"")</f>
        <v/>
      </c>
    </row>
    <row r="6">
      <c r="A6" s="48" t="s">
        <v>128</v>
      </c>
      <c r="B6" s="49" t="str">
        <f t="array" ref="B6">IFERROR(INDEX(Students!$B$2:$B$106,MATCH($A6,Students!$A$2:$A$106,0)),"")</f>
        <v>Ravjodh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50">
        <f t="shared" si="1"/>
        <v>0</v>
      </c>
      <c r="AH6" s="50">
        <f t="shared" si="2"/>
        <v>0</v>
      </c>
      <c r="AI6" s="50">
        <f t="shared" si="3"/>
        <v>0</v>
      </c>
      <c r="AJ6" s="51" t="str">
        <f t="shared" si="4"/>
        <v/>
      </c>
    </row>
    <row r="7">
      <c r="A7" s="48" t="s">
        <v>135</v>
      </c>
      <c r="B7" s="49" t="str">
        <f t="array" ref="B7">IFERROR(INDEX(Students!$B$2:$B$106,MATCH($A7,Students!$A$2:$A$106,0)),"")</f>
        <v>Alaina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50">
        <f t="shared" si="1"/>
        <v>0</v>
      </c>
      <c r="AH7" s="50">
        <f t="shared" si="2"/>
        <v>0</v>
      </c>
      <c r="AI7" s="50">
        <f t="shared" si="3"/>
        <v>0</v>
      </c>
      <c r="AJ7" s="51" t="str">
        <f t="shared" si="4"/>
        <v/>
      </c>
    </row>
    <row r="8">
      <c r="A8" s="48" t="s">
        <v>141</v>
      </c>
      <c r="B8" s="49" t="str">
        <f t="array" ref="B8">IFERROR(INDEX(Students!$B$2:$B$106,MATCH($A8,Students!$A$2:$A$106,0)),"")</f>
        <v>Kaya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50">
        <f t="shared" si="1"/>
        <v>0</v>
      </c>
      <c r="AH8" s="50">
        <f t="shared" si="2"/>
        <v>0</v>
      </c>
      <c r="AI8" s="50">
        <f t="shared" si="3"/>
        <v>0</v>
      </c>
      <c r="AJ8" s="51" t="str">
        <f t="shared" si="4"/>
        <v/>
      </c>
    </row>
    <row r="9">
      <c r="A9" s="48" t="s">
        <v>145</v>
      </c>
      <c r="B9" s="49" t="str">
        <f t="array" ref="B9">IFERROR(INDEX(Students!$B$2:$B$106,MATCH($A9,Students!$A$2:$A$106,0)),"")</f>
        <v>Gurshabd Singh Rawala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50">
        <f t="shared" si="1"/>
        <v>0</v>
      </c>
      <c r="AH9" s="50">
        <f t="shared" si="2"/>
        <v>0</v>
      </c>
      <c r="AI9" s="50">
        <f t="shared" si="3"/>
        <v>0</v>
      </c>
      <c r="AJ9" s="51" t="str">
        <f t="shared" si="4"/>
        <v/>
      </c>
    </row>
    <row r="10">
      <c r="A10" s="48" t="s">
        <v>151</v>
      </c>
      <c r="B10" s="49" t="str">
        <f t="array" ref="B10">IFERROR(INDEX(Students!$B$2:$B$106,MATCH($A10,Students!$A$2:$A$106,0)),"")</f>
        <v>Baani Purba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50">
        <f t="shared" si="1"/>
        <v>0</v>
      </c>
      <c r="AH10" s="50">
        <f t="shared" si="2"/>
        <v>0</v>
      </c>
      <c r="AI10" s="50">
        <f t="shared" si="3"/>
        <v>0</v>
      </c>
      <c r="AJ10" s="51" t="str">
        <f t="shared" si="4"/>
        <v/>
      </c>
    </row>
    <row r="11">
      <c r="A11" s="48" t="s">
        <v>158</v>
      </c>
      <c r="B11" s="49" t="str">
        <f t="array" ref="B11">IFERROR(INDEX(Students!$B$2:$B$106,MATCH($A11,Students!$A$2:$A$106,0)),"")</f>
        <v>Avneet Kaur Grewal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50">
        <f t="shared" si="1"/>
        <v>0</v>
      </c>
      <c r="AH11" s="50">
        <f t="shared" si="2"/>
        <v>0</v>
      </c>
      <c r="AI11" s="50">
        <f t="shared" si="3"/>
        <v>0</v>
      </c>
      <c r="AJ11" s="51" t="str">
        <f t="shared" si="4"/>
        <v/>
      </c>
    </row>
    <row r="12">
      <c r="A12" s="48" t="s">
        <v>163</v>
      </c>
      <c r="B12" s="49" t="str">
        <f t="array" ref="B12">IFERROR(INDEX(Students!$B$2:$B$106,MATCH($A12,Students!$A$2:$A$106,0)),"")</f>
        <v>Tanisha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50">
        <f t="shared" si="1"/>
        <v>0</v>
      </c>
      <c r="AH12" s="50">
        <f t="shared" si="2"/>
        <v>0</v>
      </c>
      <c r="AI12" s="50">
        <f t="shared" si="3"/>
        <v>0</v>
      </c>
      <c r="AJ12" s="51" t="str">
        <f t="shared" si="4"/>
        <v/>
      </c>
    </row>
    <row r="13">
      <c r="A13" s="48" t="s">
        <v>168</v>
      </c>
      <c r="B13" s="49" t="str">
        <f t="array" ref="B13">IFERROR(INDEX(Students!$B$2:$B$106,MATCH($A13,Students!$A$2:$A$106,0)),"")</f>
        <v>xyz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50">
        <f t="shared" si="1"/>
        <v>0</v>
      </c>
      <c r="AH13" s="50">
        <f t="shared" si="2"/>
        <v>0</v>
      </c>
      <c r="AI13" s="50">
        <f t="shared" si="3"/>
        <v>0</v>
      </c>
      <c r="AJ13" s="51" t="str">
        <f t="shared" si="4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:AF13">
      <formula1>"P,A"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11.0"/>
    <col customWidth="1" min="4" max="4" width="13.0"/>
    <col customWidth="1" min="5" max="5" width="20.0"/>
    <col customWidth="1" min="6" max="7" width="14.0"/>
    <col customWidth="1" min="8" max="8" width="12.0"/>
    <col customWidth="1" min="9" max="9" width="11.0"/>
    <col customWidth="1" min="10" max="11" width="13.0"/>
    <col customWidth="1" min="12" max="12" width="24.0"/>
    <col customWidth="1" min="13" max="26" width="8.71"/>
  </cols>
  <sheetData>
    <row r="1">
      <c r="A1" s="42" t="s">
        <v>276</v>
      </c>
    </row>
    <row r="2">
      <c r="A2" s="43" t="s">
        <v>221</v>
      </c>
    </row>
    <row r="4" ht="27.75" customHeight="1">
      <c r="A4" s="2" t="s">
        <v>1</v>
      </c>
      <c r="B4" s="2" t="s">
        <v>209</v>
      </c>
      <c r="C4" s="2" t="s">
        <v>0</v>
      </c>
      <c r="D4" s="2" t="s">
        <v>222</v>
      </c>
      <c r="E4" s="2" t="s">
        <v>223</v>
      </c>
      <c r="F4" s="2" t="s">
        <v>225</v>
      </c>
      <c r="G4" s="2" t="s">
        <v>226</v>
      </c>
      <c r="H4" s="2" t="s">
        <v>227</v>
      </c>
      <c r="I4" s="2" t="s">
        <v>21</v>
      </c>
      <c r="J4" s="2" t="s">
        <v>228</v>
      </c>
      <c r="K4" s="2" t="s">
        <v>229</v>
      </c>
      <c r="L4" s="2" t="s">
        <v>5</v>
      </c>
    </row>
    <row r="5">
      <c r="A5" s="35" t="s">
        <v>119</v>
      </c>
      <c r="B5" s="49" t="str">
        <f t="array" ref="B5">IFERROR(INDEX(Students!$B$2:$B$106,MATCH($A5,Students!$A$2:$A$106,0)),"")</f>
        <v>Fateh</v>
      </c>
      <c r="C5" s="50" t="str">
        <f t="array" ref="C5">IFERROR(INDEX(Students!$D$2:$D$106,MATCH($A5,Students!$A$2:$A$106,0)),"")</f>
        <v>Grade 7</v>
      </c>
      <c r="D5" s="40">
        <f t="array" ref="D5">IFERROR(INDEX(Students!$O$2:$O$106,MATCH($A5,Students!$A$2:$A$106,0)),0)</f>
        <v>20</v>
      </c>
      <c r="E5" s="50">
        <f t="array" ref="E5">IFERROR(INDEX('Attendance Nov 2026'!$AI$5:$AI$100,MATCH($A5,'Attendance Nov 2026'!$A$5:$A$100,0)),0)</f>
        <v>0</v>
      </c>
      <c r="F5" s="40">
        <f t="shared" ref="F5:F8" si="1">IFERROR(D5*E5,0)</f>
        <v>0</v>
      </c>
      <c r="G5" s="6">
        <v>0.0</v>
      </c>
      <c r="H5" s="40">
        <f t="shared" ref="H5:H8" si="2">F5-G5</f>
        <v>0</v>
      </c>
      <c r="I5" s="50" t="str">
        <f t="shared" ref="I5:I8" si="3">IF(F5=0,"—",IF(G5&gt;=F5,"Paid",IF(G5=0,"Unpaid","Partial")))</f>
        <v>—</v>
      </c>
      <c r="J5" s="37"/>
      <c r="K5" s="35"/>
      <c r="L5" s="36"/>
    </row>
    <row r="6">
      <c r="A6" s="35" t="s">
        <v>128</v>
      </c>
      <c r="B6" s="49" t="str">
        <f t="array" ref="B6">IFERROR(INDEX(Students!$B$2:$B$106,MATCH($A6,Students!$A$2:$A$106,0)),"")</f>
        <v>Ravjodh</v>
      </c>
      <c r="C6" s="50" t="str">
        <f t="array" ref="C6">IFERROR(INDEX(Students!$D$2:$D$106,MATCH($A6,Students!$A$2:$A$106,0)),"")</f>
        <v>Grade 2</v>
      </c>
      <c r="D6" s="40">
        <f t="array" ref="D6">IFERROR(INDEX(Students!$O$2:$O$106,MATCH($A6,Students!$A$2:$A$106,0)),0)</f>
        <v>15</v>
      </c>
      <c r="E6" s="50">
        <f t="array" ref="E6">IFERROR(INDEX('Attendance Nov 2026'!$AI$5:$AI$100,MATCH($A6,'Attendance Nov 2026'!$A$5:$A$100,0)),0)</f>
        <v>0</v>
      </c>
      <c r="F6" s="40">
        <f t="shared" si="1"/>
        <v>0</v>
      </c>
      <c r="G6" s="6">
        <v>0.0</v>
      </c>
      <c r="H6" s="40">
        <f t="shared" si="2"/>
        <v>0</v>
      </c>
      <c r="I6" s="50" t="str">
        <f t="shared" si="3"/>
        <v>—</v>
      </c>
      <c r="J6" s="37"/>
      <c r="K6" s="35"/>
      <c r="L6" s="36"/>
    </row>
    <row r="7">
      <c r="A7" s="35" t="s">
        <v>135</v>
      </c>
      <c r="B7" s="49" t="str">
        <f t="array" ref="B7">IFERROR(INDEX(Students!$B$2:$B$106,MATCH($A7,Students!$A$2:$A$106,0)),"")</f>
        <v>Alaina</v>
      </c>
      <c r="C7" s="50" t="str">
        <f t="array" ref="C7">IFERROR(INDEX(Students!$D$2:$D$106,MATCH($A7,Students!$A$2:$A$106,0)),"")</f>
        <v>Grade 7</v>
      </c>
      <c r="D7" s="40">
        <f t="array" ref="D7">IFERROR(INDEX(Students!$O$2:$O$106,MATCH($A7,Students!$A$2:$A$106,0)),0)</f>
        <v>20</v>
      </c>
      <c r="E7" s="50">
        <f t="array" ref="E7">IFERROR(INDEX('Attendance Nov 2026'!$AI$5:$AI$100,MATCH($A7,'Attendance Nov 2026'!$A$5:$A$100,0)),0)</f>
        <v>0</v>
      </c>
      <c r="F7" s="40">
        <f t="shared" si="1"/>
        <v>0</v>
      </c>
      <c r="G7" s="6">
        <v>0.0</v>
      </c>
      <c r="H7" s="40">
        <f t="shared" si="2"/>
        <v>0</v>
      </c>
      <c r="I7" s="50" t="str">
        <f t="shared" si="3"/>
        <v>—</v>
      </c>
      <c r="J7" s="37"/>
      <c r="K7" s="35"/>
      <c r="L7" s="36"/>
    </row>
    <row r="8">
      <c r="A8" s="35" t="s">
        <v>141</v>
      </c>
      <c r="B8" s="49" t="str">
        <f t="array" ref="B8">IFERROR(INDEX(Students!$B$2:$B$106,MATCH($A8,Students!$A$2:$A$106,0)),"")</f>
        <v>Kaya</v>
      </c>
      <c r="C8" s="50" t="str">
        <f t="array" ref="C8">IFERROR(INDEX(Students!$D$2:$D$106,MATCH($A8,Students!$A$2:$A$106,0)),"")</f>
        <v>Grade 3</v>
      </c>
      <c r="D8" s="40">
        <f t="array" ref="D8">IFERROR(INDEX(Students!$O$2:$O$106,MATCH($A8,Students!$A$2:$A$106,0)),0)</f>
        <v>15</v>
      </c>
      <c r="E8" s="50">
        <f t="array" ref="E8">IFERROR(INDEX('Attendance Nov 2026'!$AI$5:$AI$100,MATCH($A8,'Attendance Nov 2026'!$A$5:$A$100,0)),0)</f>
        <v>0</v>
      </c>
      <c r="F8" s="40">
        <f t="shared" si="1"/>
        <v>0</v>
      </c>
      <c r="G8" s="6">
        <v>0.0</v>
      </c>
      <c r="H8" s="40">
        <f t="shared" si="2"/>
        <v>0</v>
      </c>
      <c r="I8" s="50" t="str">
        <f t="shared" si="3"/>
        <v>—</v>
      </c>
      <c r="J8" s="37"/>
      <c r="K8" s="35"/>
      <c r="L8" s="36"/>
    </row>
    <row r="9">
      <c r="A9" s="58"/>
      <c r="B9" s="59" t="s">
        <v>232</v>
      </c>
      <c r="C9" s="58"/>
      <c r="D9" s="58"/>
      <c r="E9" s="58"/>
      <c r="F9" s="61">
        <f t="shared" ref="F9:H9" si="4">SUM(F5:F8)</f>
        <v>0</v>
      </c>
      <c r="G9" s="61">
        <f t="shared" si="4"/>
        <v>0</v>
      </c>
      <c r="H9" s="61">
        <f t="shared" si="4"/>
        <v>0</v>
      </c>
      <c r="I9" s="58"/>
      <c r="J9" s="58"/>
      <c r="K9" s="58"/>
      <c r="L9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5:K8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3" width="3.43"/>
    <col customWidth="1" min="34" max="37" width="9.0"/>
  </cols>
  <sheetData>
    <row r="1">
      <c r="A1" s="42" t="s">
        <v>277</v>
      </c>
    </row>
    <row r="2">
      <c r="A2" s="43" t="s">
        <v>203</v>
      </c>
    </row>
    <row r="3">
      <c r="C3" s="44" t="s">
        <v>206</v>
      </c>
      <c r="D3" s="44" t="s">
        <v>207</v>
      </c>
      <c r="E3" s="44" t="s">
        <v>206</v>
      </c>
      <c r="F3" s="44" t="s">
        <v>208</v>
      </c>
      <c r="G3" s="44" t="s">
        <v>204</v>
      </c>
      <c r="H3" s="44" t="s">
        <v>204</v>
      </c>
      <c r="I3" s="44" t="s">
        <v>205</v>
      </c>
      <c r="J3" s="44" t="s">
        <v>206</v>
      </c>
      <c r="K3" s="44" t="s">
        <v>207</v>
      </c>
      <c r="L3" s="44" t="s">
        <v>206</v>
      </c>
      <c r="M3" s="44" t="s">
        <v>208</v>
      </c>
      <c r="N3" s="44" t="s">
        <v>204</v>
      </c>
      <c r="O3" s="44" t="s">
        <v>204</v>
      </c>
      <c r="P3" s="44" t="s">
        <v>205</v>
      </c>
      <c r="Q3" s="44" t="s">
        <v>206</v>
      </c>
      <c r="R3" s="44" t="s">
        <v>207</v>
      </c>
      <c r="S3" s="44" t="s">
        <v>206</v>
      </c>
      <c r="T3" s="44" t="s">
        <v>208</v>
      </c>
      <c r="U3" s="44" t="s">
        <v>204</v>
      </c>
      <c r="V3" s="44" t="s">
        <v>204</v>
      </c>
      <c r="W3" s="44" t="s">
        <v>205</v>
      </c>
      <c r="X3" s="44" t="s">
        <v>206</v>
      </c>
      <c r="Y3" s="44" t="s">
        <v>207</v>
      </c>
      <c r="Z3" s="44" t="s">
        <v>206</v>
      </c>
      <c r="AA3" s="44" t="s">
        <v>208</v>
      </c>
      <c r="AB3" s="44" t="s">
        <v>204</v>
      </c>
      <c r="AC3" s="44" t="s">
        <v>204</v>
      </c>
      <c r="AD3" s="44" t="s">
        <v>205</v>
      </c>
      <c r="AE3" s="44" t="s">
        <v>206</v>
      </c>
      <c r="AF3" s="44" t="s">
        <v>207</v>
      </c>
      <c r="AG3" s="44" t="s">
        <v>206</v>
      </c>
    </row>
    <row r="4" ht="25.5" customHeight="1">
      <c r="A4" s="45" t="s">
        <v>1</v>
      </c>
      <c r="B4" s="45" t="s">
        <v>209</v>
      </c>
      <c r="C4" s="45">
        <v>1.0</v>
      </c>
      <c r="D4" s="45">
        <v>2.0</v>
      </c>
      <c r="E4" s="45">
        <v>3.0</v>
      </c>
      <c r="F4" s="45">
        <v>4.0</v>
      </c>
      <c r="G4" s="45">
        <v>5.0</v>
      </c>
      <c r="H4" s="45">
        <v>6.0</v>
      </c>
      <c r="I4" s="45">
        <v>7.0</v>
      </c>
      <c r="J4" s="45">
        <v>8.0</v>
      </c>
      <c r="K4" s="45">
        <v>9.0</v>
      </c>
      <c r="L4" s="45">
        <v>10.0</v>
      </c>
      <c r="M4" s="45">
        <v>11.0</v>
      </c>
      <c r="N4" s="45">
        <v>12.0</v>
      </c>
      <c r="O4" s="45">
        <v>13.0</v>
      </c>
      <c r="P4" s="45">
        <v>14.0</v>
      </c>
      <c r="Q4" s="45">
        <v>15.0</v>
      </c>
      <c r="R4" s="45">
        <v>16.0</v>
      </c>
      <c r="S4" s="45">
        <v>17.0</v>
      </c>
      <c r="T4" s="45">
        <v>18.0</v>
      </c>
      <c r="U4" s="45">
        <v>19.0</v>
      </c>
      <c r="V4" s="45">
        <v>20.0</v>
      </c>
      <c r="W4" s="45">
        <v>21.0</v>
      </c>
      <c r="X4" s="45">
        <v>22.0</v>
      </c>
      <c r="Y4" s="45">
        <v>23.0</v>
      </c>
      <c r="Z4" s="45">
        <v>24.0</v>
      </c>
      <c r="AA4" s="45">
        <v>25.0</v>
      </c>
      <c r="AB4" s="45">
        <v>26.0</v>
      </c>
      <c r="AC4" s="45">
        <v>27.0</v>
      </c>
      <c r="AD4" s="45">
        <v>28.0</v>
      </c>
      <c r="AE4" s="45">
        <v>29.0</v>
      </c>
      <c r="AF4" s="45">
        <v>30.0</v>
      </c>
      <c r="AG4" s="45">
        <v>31.0</v>
      </c>
      <c r="AH4" s="45" t="s">
        <v>211</v>
      </c>
      <c r="AI4" s="45" t="s">
        <v>212</v>
      </c>
      <c r="AJ4" s="45" t="s">
        <v>213</v>
      </c>
      <c r="AK4" s="45" t="s">
        <v>214</v>
      </c>
    </row>
    <row r="5">
      <c r="A5" s="48" t="s">
        <v>119</v>
      </c>
      <c r="B5" s="49" t="str">
        <f t="array" ref="B5">IFERROR(INDEX(Students!$B$2:$B$106,MATCH($A5,Students!$A$2:$A$106,0)),"")</f>
        <v>Fateh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50">
        <f t="shared" ref="AH5:AH8" si="1">COUNTIF(C5:AG5,"P")</f>
        <v>0</v>
      </c>
      <c r="AI5" s="50">
        <f t="shared" ref="AI5:AI8" si="2">COUNTIF(C5:AG5,"A")</f>
        <v>0</v>
      </c>
      <c r="AJ5" s="50">
        <f t="shared" ref="AJ5:AJ8" si="3">AH5+AI5</f>
        <v>0</v>
      </c>
      <c r="AK5" s="51" t="str">
        <f t="shared" ref="AK5:AK8" si="4">IFERROR(AH5/AJ5,"")</f>
        <v/>
      </c>
    </row>
    <row r="6">
      <c r="A6" s="48" t="s">
        <v>128</v>
      </c>
      <c r="B6" s="49" t="str">
        <f t="array" ref="B6">IFERROR(INDEX(Students!$B$2:$B$106,MATCH($A6,Students!$A$2:$A$106,0)),"")</f>
        <v>Ravjodh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50">
        <f t="shared" si="1"/>
        <v>0</v>
      </c>
      <c r="AI6" s="50">
        <f t="shared" si="2"/>
        <v>0</v>
      </c>
      <c r="AJ6" s="50">
        <f t="shared" si="3"/>
        <v>0</v>
      </c>
      <c r="AK6" s="51" t="str">
        <f t="shared" si="4"/>
        <v/>
      </c>
    </row>
    <row r="7">
      <c r="A7" s="48" t="s">
        <v>135</v>
      </c>
      <c r="B7" s="49" t="str">
        <f t="array" ref="B7">IFERROR(INDEX(Students!$B$2:$B$106,MATCH($A7,Students!$A$2:$A$106,0)),"")</f>
        <v>Alaina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50">
        <f t="shared" si="1"/>
        <v>0</v>
      </c>
      <c r="AI7" s="50">
        <f t="shared" si="2"/>
        <v>0</v>
      </c>
      <c r="AJ7" s="50">
        <f t="shared" si="3"/>
        <v>0</v>
      </c>
      <c r="AK7" s="51" t="str">
        <f t="shared" si="4"/>
        <v/>
      </c>
    </row>
    <row r="8">
      <c r="A8" s="48" t="s">
        <v>141</v>
      </c>
      <c r="B8" s="49" t="str">
        <f t="array" ref="B8">IFERROR(INDEX(Students!$B$2:$B$106,MATCH($A8,Students!$A$2:$A$106,0)),"")</f>
        <v>Kaya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50">
        <f t="shared" si="1"/>
        <v>0</v>
      </c>
      <c r="AI8" s="50">
        <f t="shared" si="2"/>
        <v>0</v>
      </c>
      <c r="AJ8" s="50">
        <f t="shared" si="3"/>
        <v>0</v>
      </c>
      <c r="AK8" s="51" t="str">
        <f t="shared" si="4"/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5:AG8">
      <formula1>"P,A"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11.0"/>
    <col customWidth="1" min="4" max="4" width="13.0"/>
    <col customWidth="1" min="5" max="5" width="20.0"/>
    <col customWidth="1" min="6" max="7" width="14.0"/>
    <col customWidth="1" min="8" max="8" width="12.0"/>
    <col customWidth="1" min="9" max="9" width="11.0"/>
    <col customWidth="1" min="10" max="11" width="13.0"/>
    <col customWidth="1" min="12" max="12" width="24.0"/>
    <col customWidth="1" min="13" max="26" width="8.71"/>
  </cols>
  <sheetData>
    <row r="1">
      <c r="A1" s="42" t="s">
        <v>282</v>
      </c>
    </row>
    <row r="2">
      <c r="A2" s="43" t="s">
        <v>221</v>
      </c>
    </row>
    <row r="4" ht="27.75" customHeight="1">
      <c r="A4" s="2" t="s">
        <v>1</v>
      </c>
      <c r="B4" s="2" t="s">
        <v>209</v>
      </c>
      <c r="C4" s="2" t="s">
        <v>0</v>
      </c>
      <c r="D4" s="2" t="s">
        <v>222</v>
      </c>
      <c r="E4" s="2" t="s">
        <v>223</v>
      </c>
      <c r="F4" s="2" t="s">
        <v>225</v>
      </c>
      <c r="G4" s="2" t="s">
        <v>226</v>
      </c>
      <c r="H4" s="2" t="s">
        <v>227</v>
      </c>
      <c r="I4" s="2" t="s">
        <v>21</v>
      </c>
      <c r="J4" s="2" t="s">
        <v>228</v>
      </c>
      <c r="K4" s="2" t="s">
        <v>229</v>
      </c>
      <c r="L4" s="2" t="s">
        <v>5</v>
      </c>
    </row>
    <row r="5">
      <c r="A5" s="35" t="s">
        <v>119</v>
      </c>
      <c r="B5" s="49" t="str">
        <f t="array" ref="B5">IFERROR(INDEX(Students!$B$2:$B$106,MATCH($A5,Students!$A$2:$A$106,0)),"")</f>
        <v>Fateh</v>
      </c>
      <c r="C5" s="50" t="str">
        <f t="array" ref="C5">IFERROR(INDEX(Students!$D$2:$D$106,MATCH($A5,Students!$A$2:$A$106,0)),"")</f>
        <v>Grade 7</v>
      </c>
      <c r="D5" s="40">
        <f t="array" ref="D5">IFERROR(INDEX(Students!$O$2:$O$106,MATCH($A5,Students!$A$2:$A$106,0)),0)</f>
        <v>20</v>
      </c>
      <c r="E5" s="50">
        <f t="array" ref="E5">IFERROR(INDEX('Attendance Dec 2026'!$AJ$5:$AJ$100,MATCH($A5,'Attendance Dec 2026'!$A$5:$A$100,0)),0)</f>
        <v>0</v>
      </c>
      <c r="F5" s="40">
        <f t="shared" ref="F5:F8" si="1">IFERROR(D5*E5,0)</f>
        <v>0</v>
      </c>
      <c r="G5" s="6">
        <v>0.0</v>
      </c>
      <c r="H5" s="40">
        <f t="shared" ref="H5:H8" si="2">F5-G5</f>
        <v>0</v>
      </c>
      <c r="I5" s="50" t="str">
        <f t="shared" ref="I5:I8" si="3">IF(F5=0,"—",IF(G5&gt;=F5,"Paid",IF(G5=0,"Unpaid","Partial")))</f>
        <v>—</v>
      </c>
      <c r="J5" s="37"/>
      <c r="K5" s="35"/>
      <c r="L5" s="36"/>
    </row>
    <row r="6">
      <c r="A6" s="35" t="s">
        <v>128</v>
      </c>
      <c r="B6" s="49" t="str">
        <f t="array" ref="B6">IFERROR(INDEX(Students!$B$2:$B$106,MATCH($A6,Students!$A$2:$A$106,0)),"")</f>
        <v>Ravjodh</v>
      </c>
      <c r="C6" s="50" t="str">
        <f t="array" ref="C6">IFERROR(INDEX(Students!$D$2:$D$106,MATCH($A6,Students!$A$2:$A$106,0)),"")</f>
        <v>Grade 2</v>
      </c>
      <c r="D6" s="40">
        <f t="array" ref="D6">IFERROR(INDEX(Students!$O$2:$O$106,MATCH($A6,Students!$A$2:$A$106,0)),0)</f>
        <v>15</v>
      </c>
      <c r="E6" s="50">
        <f t="array" ref="E6">IFERROR(INDEX('Attendance Dec 2026'!$AJ$5:$AJ$100,MATCH($A6,'Attendance Dec 2026'!$A$5:$A$100,0)),0)</f>
        <v>0</v>
      </c>
      <c r="F6" s="40">
        <f t="shared" si="1"/>
        <v>0</v>
      </c>
      <c r="G6" s="6">
        <v>0.0</v>
      </c>
      <c r="H6" s="40">
        <f t="shared" si="2"/>
        <v>0</v>
      </c>
      <c r="I6" s="50" t="str">
        <f t="shared" si="3"/>
        <v>—</v>
      </c>
      <c r="J6" s="37"/>
      <c r="K6" s="35"/>
      <c r="L6" s="36"/>
    </row>
    <row r="7">
      <c r="A7" s="35" t="s">
        <v>135</v>
      </c>
      <c r="B7" s="49" t="str">
        <f t="array" ref="B7">IFERROR(INDEX(Students!$B$2:$B$106,MATCH($A7,Students!$A$2:$A$106,0)),"")</f>
        <v>Alaina</v>
      </c>
      <c r="C7" s="50" t="str">
        <f t="array" ref="C7">IFERROR(INDEX(Students!$D$2:$D$106,MATCH($A7,Students!$A$2:$A$106,0)),"")</f>
        <v>Grade 7</v>
      </c>
      <c r="D7" s="40">
        <f t="array" ref="D7">IFERROR(INDEX(Students!$O$2:$O$106,MATCH($A7,Students!$A$2:$A$106,0)),0)</f>
        <v>20</v>
      </c>
      <c r="E7" s="50">
        <f t="array" ref="E7">IFERROR(INDEX('Attendance Dec 2026'!$AJ$5:$AJ$100,MATCH($A7,'Attendance Dec 2026'!$A$5:$A$100,0)),0)</f>
        <v>0</v>
      </c>
      <c r="F7" s="40">
        <f t="shared" si="1"/>
        <v>0</v>
      </c>
      <c r="G7" s="6">
        <v>0.0</v>
      </c>
      <c r="H7" s="40">
        <f t="shared" si="2"/>
        <v>0</v>
      </c>
      <c r="I7" s="50" t="str">
        <f t="shared" si="3"/>
        <v>—</v>
      </c>
      <c r="J7" s="37"/>
      <c r="K7" s="35"/>
      <c r="L7" s="36"/>
    </row>
    <row r="8">
      <c r="A8" s="35" t="s">
        <v>141</v>
      </c>
      <c r="B8" s="49" t="str">
        <f t="array" ref="B8">IFERROR(INDEX(Students!$B$2:$B$106,MATCH($A8,Students!$A$2:$A$106,0)),"")</f>
        <v>Kaya</v>
      </c>
      <c r="C8" s="50" t="str">
        <f t="array" ref="C8">IFERROR(INDEX(Students!$D$2:$D$106,MATCH($A8,Students!$A$2:$A$106,0)),"")</f>
        <v>Grade 3</v>
      </c>
      <c r="D8" s="40">
        <f t="array" ref="D8">IFERROR(INDEX(Students!$O$2:$O$106,MATCH($A8,Students!$A$2:$A$106,0)),0)</f>
        <v>15</v>
      </c>
      <c r="E8" s="50">
        <f t="array" ref="E8">IFERROR(INDEX('Attendance Dec 2026'!$AJ$5:$AJ$100,MATCH($A8,'Attendance Dec 2026'!$A$5:$A$100,0)),0)</f>
        <v>0</v>
      </c>
      <c r="F8" s="40">
        <f t="shared" si="1"/>
        <v>0</v>
      </c>
      <c r="G8" s="6">
        <v>0.0</v>
      </c>
      <c r="H8" s="40">
        <f t="shared" si="2"/>
        <v>0</v>
      </c>
      <c r="I8" s="50" t="str">
        <f t="shared" si="3"/>
        <v>—</v>
      </c>
      <c r="J8" s="37"/>
      <c r="K8" s="35"/>
      <c r="L8" s="36"/>
    </row>
    <row r="9">
      <c r="A9" s="58"/>
      <c r="B9" s="59" t="s">
        <v>232</v>
      </c>
      <c r="C9" s="58"/>
      <c r="D9" s="58"/>
      <c r="E9" s="58"/>
      <c r="F9" s="61">
        <f t="shared" ref="F9:H9" si="4">SUM(F5:F8)</f>
        <v>0</v>
      </c>
      <c r="G9" s="61">
        <f t="shared" si="4"/>
        <v>0</v>
      </c>
      <c r="H9" s="61">
        <f t="shared" si="4"/>
        <v>0</v>
      </c>
      <c r="I9" s="58"/>
      <c r="J9" s="58"/>
      <c r="K9" s="58"/>
      <c r="L9" s="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K5:K8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1.0"/>
    <col customWidth="1" min="4" max="4" width="16.0"/>
    <col customWidth="1" min="5" max="5" width="12.0"/>
    <col customWidth="1" min="6" max="7" width="13.0"/>
    <col customWidth="1" min="8" max="8" width="14.0"/>
    <col customWidth="1" min="9" max="9" width="26.0"/>
    <col customWidth="1" min="10" max="26" width="8.71"/>
  </cols>
  <sheetData>
    <row r="1" ht="25.5" customHeight="1">
      <c r="A1" s="2" t="s">
        <v>283</v>
      </c>
      <c r="B1" s="2" t="s">
        <v>284</v>
      </c>
      <c r="C1" s="2" t="s">
        <v>1</v>
      </c>
      <c r="D1" s="2" t="s">
        <v>209</v>
      </c>
      <c r="E1" s="2" t="s">
        <v>285</v>
      </c>
      <c r="F1" s="2" t="s">
        <v>286</v>
      </c>
      <c r="G1" s="2" t="s">
        <v>229</v>
      </c>
      <c r="H1" s="2" t="s">
        <v>287</v>
      </c>
      <c r="I1" s="2" t="s">
        <v>5</v>
      </c>
    </row>
    <row r="2" ht="15.0" customHeight="1">
      <c r="A2" s="22" t="s">
        <v>288</v>
      </c>
      <c r="B2" s="11" t="s">
        <v>289</v>
      </c>
      <c r="C2" s="11" t="s">
        <v>119</v>
      </c>
      <c r="D2" s="13" t="str">
        <f t="array" ref="D2">IFERROR(INDEX(Students!$B$2:$B$106,MATCH($C2,Students!$A$2:$A$106,0)),"")</f>
        <v>Fateh</v>
      </c>
      <c r="E2" s="11" t="s">
        <v>290</v>
      </c>
      <c r="F2" s="70">
        <v>60.0</v>
      </c>
      <c r="G2" s="11" t="s">
        <v>291</v>
      </c>
      <c r="H2" s="13" t="s">
        <v>292</v>
      </c>
      <c r="I2" s="13" t="s">
        <v>293</v>
      </c>
    </row>
    <row r="3" ht="15.0" customHeight="1">
      <c r="A3" s="37"/>
      <c r="B3" s="35"/>
      <c r="C3" s="35"/>
      <c r="D3" s="49" t="str">
        <f t="array" ref="D3">IFERROR(INDEX(Students!$B$2:$B$106,MATCH($C3,Students!$A$2:$A$106,0)),"")</f>
        <v/>
      </c>
      <c r="E3" s="35"/>
      <c r="F3" s="6"/>
      <c r="G3" s="35"/>
      <c r="H3" s="36"/>
      <c r="I3" s="36"/>
    </row>
    <row r="4" ht="15.0" customHeight="1">
      <c r="A4" s="37"/>
      <c r="B4" s="35"/>
      <c r="C4" s="35"/>
      <c r="D4" s="49" t="str">
        <f t="array" ref="D4">IFERROR(INDEX(Students!$B$2:$B$106,MATCH($C4,Students!$A$2:$A$106,0)),"")</f>
        <v/>
      </c>
      <c r="E4" s="35"/>
      <c r="F4" s="6"/>
      <c r="G4" s="35"/>
      <c r="H4" s="36"/>
      <c r="I4" s="36"/>
    </row>
    <row r="5" ht="15.0" customHeight="1">
      <c r="A5" s="37"/>
      <c r="B5" s="35"/>
      <c r="C5" s="35"/>
      <c r="D5" s="49" t="str">
        <f t="array" ref="D5">IFERROR(INDEX(Students!$B$2:$B$106,MATCH($C5,Students!$A$2:$A$106,0)),"")</f>
        <v/>
      </c>
      <c r="E5" s="35"/>
      <c r="F5" s="6"/>
      <c r="G5" s="35"/>
      <c r="H5" s="36"/>
      <c r="I5" s="36"/>
    </row>
    <row r="6" ht="15.0" customHeight="1">
      <c r="A6" s="37"/>
      <c r="B6" s="35"/>
      <c r="C6" s="35"/>
      <c r="D6" s="49" t="str">
        <f t="array" ref="D6">IFERROR(INDEX(Students!$B$2:$B$106,MATCH($C6,Students!$A$2:$A$106,0)),"")</f>
        <v/>
      </c>
      <c r="E6" s="35"/>
      <c r="F6" s="6"/>
      <c r="G6" s="35"/>
      <c r="H6" s="36"/>
      <c r="I6" s="36"/>
    </row>
    <row r="7" ht="15.0" customHeight="1">
      <c r="A7" s="37"/>
      <c r="B7" s="35"/>
      <c r="C7" s="35"/>
      <c r="D7" s="49" t="str">
        <f t="array" ref="D7">IFERROR(INDEX(Students!$B$2:$B$106,MATCH($C7,Students!$A$2:$A$106,0)),"")</f>
        <v/>
      </c>
      <c r="E7" s="35"/>
      <c r="F7" s="6"/>
      <c r="G7" s="35"/>
      <c r="H7" s="36"/>
      <c r="I7" s="36"/>
    </row>
    <row r="8" ht="15.0" customHeight="1">
      <c r="A8" s="37"/>
      <c r="B8" s="35"/>
      <c r="C8" s="35"/>
      <c r="D8" s="49" t="str">
        <f t="array" ref="D8">IFERROR(INDEX(Students!$B$2:$B$106,MATCH($C8,Students!$A$2:$A$106,0)),"")</f>
        <v/>
      </c>
      <c r="E8" s="35"/>
      <c r="F8" s="6"/>
      <c r="G8" s="35"/>
      <c r="H8" s="36"/>
      <c r="I8" s="36"/>
    </row>
    <row r="9" ht="15.0" customHeight="1">
      <c r="A9" s="37"/>
      <c r="B9" s="35"/>
      <c r="C9" s="35"/>
      <c r="D9" s="49" t="str">
        <f t="array" ref="D9">IFERROR(INDEX(Students!$B$2:$B$106,MATCH($C9,Students!$A$2:$A$106,0)),"")</f>
        <v/>
      </c>
      <c r="E9" s="35"/>
      <c r="F9" s="6"/>
      <c r="G9" s="35"/>
      <c r="H9" s="36"/>
      <c r="I9" s="36"/>
    </row>
    <row r="10" ht="15.0" customHeight="1">
      <c r="A10" s="37"/>
      <c r="B10" s="35"/>
      <c r="C10" s="35"/>
      <c r="D10" s="49" t="str">
        <f t="array" ref="D10">IFERROR(INDEX(Students!$B$2:$B$106,MATCH($C10,Students!$A$2:$A$106,0)),"")</f>
        <v/>
      </c>
      <c r="E10" s="35"/>
      <c r="F10" s="6"/>
      <c r="G10" s="35"/>
      <c r="H10" s="36"/>
      <c r="I10" s="36"/>
    </row>
    <row r="11" ht="15.0" customHeight="1">
      <c r="A11" s="37"/>
      <c r="B11" s="35"/>
      <c r="C11" s="35"/>
      <c r="D11" s="49" t="str">
        <f t="array" ref="D11">IFERROR(INDEX(Students!$B$2:$B$106,MATCH($C11,Students!$A$2:$A$106,0)),"")</f>
        <v/>
      </c>
      <c r="E11" s="35"/>
      <c r="F11" s="6"/>
      <c r="G11" s="35"/>
      <c r="H11" s="36"/>
      <c r="I11" s="36"/>
    </row>
    <row r="12" ht="15.0" customHeight="1">
      <c r="A12" s="37"/>
      <c r="B12" s="35"/>
      <c r="C12" s="35"/>
      <c r="D12" s="49" t="str">
        <f t="array" ref="D12">IFERROR(INDEX(Students!$B$2:$B$106,MATCH($C12,Students!$A$2:$A$106,0)),"")</f>
        <v/>
      </c>
      <c r="E12" s="35"/>
      <c r="F12" s="6"/>
      <c r="G12" s="35"/>
      <c r="H12" s="36"/>
      <c r="I12" s="36"/>
    </row>
    <row r="13" ht="15.0" customHeight="1">
      <c r="A13" s="37"/>
      <c r="B13" s="35"/>
      <c r="C13" s="35"/>
      <c r="D13" s="49" t="str">
        <f t="array" ref="D13">IFERROR(INDEX(Students!$B$2:$B$106,MATCH($C13,Students!$A$2:$A$106,0)),"")</f>
        <v/>
      </c>
      <c r="E13" s="35"/>
      <c r="F13" s="6"/>
      <c r="G13" s="35"/>
      <c r="H13" s="36"/>
      <c r="I13" s="36"/>
    </row>
    <row r="14" ht="15.0" customHeight="1">
      <c r="A14" s="37"/>
      <c r="B14" s="35"/>
      <c r="C14" s="35"/>
      <c r="D14" s="49" t="str">
        <f t="array" ref="D14">IFERROR(INDEX(Students!$B$2:$B$106,MATCH($C14,Students!$A$2:$A$106,0)),"")</f>
        <v/>
      </c>
      <c r="E14" s="35"/>
      <c r="F14" s="6"/>
      <c r="G14" s="35"/>
      <c r="H14" s="36"/>
      <c r="I14" s="36"/>
    </row>
    <row r="15" ht="15.0" customHeight="1">
      <c r="A15" s="37"/>
      <c r="B15" s="35"/>
      <c r="C15" s="35"/>
      <c r="D15" s="49" t="str">
        <f t="array" ref="D15">IFERROR(INDEX(Students!$B$2:$B$106,MATCH($C15,Students!$A$2:$A$106,0)),"")</f>
        <v/>
      </c>
      <c r="E15" s="35"/>
      <c r="F15" s="6"/>
      <c r="G15" s="35"/>
      <c r="H15" s="36"/>
      <c r="I15" s="36"/>
    </row>
    <row r="16" ht="15.0" customHeight="1">
      <c r="A16" s="37"/>
      <c r="B16" s="35"/>
      <c r="C16" s="35"/>
      <c r="D16" s="49" t="str">
        <f t="array" ref="D16">IFERROR(INDEX(Students!$B$2:$B$106,MATCH($C16,Students!$A$2:$A$106,0)),"")</f>
        <v/>
      </c>
      <c r="E16" s="35"/>
      <c r="F16" s="6"/>
      <c r="G16" s="35"/>
      <c r="H16" s="36"/>
      <c r="I16" s="36"/>
    </row>
    <row r="17" ht="15.0" customHeight="1">
      <c r="A17" s="37"/>
      <c r="B17" s="35"/>
      <c r="C17" s="35"/>
      <c r="D17" s="49" t="str">
        <f t="array" ref="D17">IFERROR(INDEX(Students!$B$2:$B$106,MATCH($C17,Students!$A$2:$A$106,0)),"")</f>
        <v/>
      </c>
      <c r="E17" s="35"/>
      <c r="F17" s="6"/>
      <c r="G17" s="35"/>
      <c r="H17" s="36"/>
      <c r="I17" s="36"/>
    </row>
    <row r="18" ht="15.0" customHeight="1">
      <c r="A18" s="37"/>
      <c r="B18" s="35"/>
      <c r="C18" s="35"/>
      <c r="D18" s="49" t="str">
        <f t="array" ref="D18">IFERROR(INDEX(Students!$B$2:$B$106,MATCH($C18,Students!$A$2:$A$106,0)),"")</f>
        <v/>
      </c>
      <c r="E18" s="35"/>
      <c r="F18" s="6"/>
      <c r="G18" s="35"/>
      <c r="H18" s="36"/>
      <c r="I18" s="36"/>
    </row>
    <row r="19" ht="15.0" customHeight="1">
      <c r="A19" s="37"/>
      <c r="B19" s="35"/>
      <c r="C19" s="35"/>
      <c r="D19" s="49" t="str">
        <f t="array" ref="D19">IFERROR(INDEX(Students!$B$2:$B$106,MATCH($C19,Students!$A$2:$A$106,0)),"")</f>
        <v/>
      </c>
      <c r="E19" s="35"/>
      <c r="F19" s="6"/>
      <c r="G19" s="35"/>
      <c r="H19" s="36"/>
      <c r="I19" s="36"/>
    </row>
    <row r="20" ht="15.0" customHeight="1">
      <c r="A20" s="37"/>
      <c r="B20" s="35"/>
      <c r="C20" s="35"/>
      <c r="D20" s="49" t="str">
        <f t="array" ref="D20">IFERROR(INDEX(Students!$B$2:$B$106,MATCH($C20,Students!$A$2:$A$106,0)),"")</f>
        <v/>
      </c>
      <c r="E20" s="35"/>
      <c r="F20" s="6"/>
      <c r="G20" s="35"/>
      <c r="H20" s="36"/>
      <c r="I20" s="36"/>
    </row>
    <row r="21" ht="15.0" customHeight="1">
      <c r="A21" s="37"/>
      <c r="B21" s="35"/>
      <c r="C21" s="35"/>
      <c r="D21" s="49" t="str">
        <f t="array" ref="D21">IFERROR(INDEX(Students!$B$2:$B$106,MATCH($C21,Students!$A$2:$A$106,0)),"")</f>
        <v/>
      </c>
      <c r="E21" s="35"/>
      <c r="F21" s="6"/>
      <c r="G21" s="35"/>
      <c r="H21" s="36"/>
      <c r="I21" s="36"/>
    </row>
    <row r="22" ht="15.0" customHeight="1">
      <c r="A22" s="37"/>
      <c r="B22" s="35"/>
      <c r="C22" s="35"/>
      <c r="D22" s="49" t="str">
        <f t="array" ref="D22">IFERROR(INDEX(Students!$B$2:$B$106,MATCH($C22,Students!$A$2:$A$106,0)),"")</f>
        <v/>
      </c>
      <c r="E22" s="35"/>
      <c r="F22" s="6"/>
      <c r="G22" s="35"/>
      <c r="H22" s="36"/>
      <c r="I22" s="36"/>
    </row>
    <row r="23" ht="15.0" customHeight="1">
      <c r="A23" s="37"/>
      <c r="B23" s="35"/>
      <c r="C23" s="35"/>
      <c r="D23" s="49" t="str">
        <f t="array" ref="D23">IFERROR(INDEX(Students!$B$2:$B$106,MATCH($C23,Students!$A$2:$A$106,0)),"")</f>
        <v/>
      </c>
      <c r="E23" s="35"/>
      <c r="F23" s="6"/>
      <c r="G23" s="35"/>
      <c r="H23" s="36"/>
      <c r="I23" s="36"/>
    </row>
    <row r="24" ht="15.0" customHeight="1">
      <c r="A24" s="37"/>
      <c r="B24" s="35"/>
      <c r="C24" s="35"/>
      <c r="D24" s="49" t="str">
        <f t="array" ref="D24">IFERROR(INDEX(Students!$B$2:$B$106,MATCH($C24,Students!$A$2:$A$106,0)),"")</f>
        <v/>
      </c>
      <c r="E24" s="35"/>
      <c r="F24" s="6"/>
      <c r="G24" s="35"/>
      <c r="H24" s="36"/>
      <c r="I24" s="36"/>
    </row>
    <row r="25" ht="15.0" customHeight="1">
      <c r="A25" s="37"/>
      <c r="B25" s="35"/>
      <c r="C25" s="35"/>
      <c r="D25" s="49" t="str">
        <f t="array" ref="D25">IFERROR(INDEX(Students!$B$2:$B$106,MATCH($C25,Students!$A$2:$A$106,0)),"")</f>
        <v/>
      </c>
      <c r="E25" s="35"/>
      <c r="F25" s="6"/>
      <c r="G25" s="35"/>
      <c r="H25" s="36"/>
      <c r="I25" s="36"/>
    </row>
    <row r="26" ht="15.0" customHeight="1">
      <c r="A26" s="37"/>
      <c r="B26" s="35"/>
      <c r="C26" s="35"/>
      <c r="D26" s="49" t="str">
        <f t="array" ref="D26">IFERROR(INDEX(Students!$B$2:$B$106,MATCH($C26,Students!$A$2:$A$106,0)),"")</f>
        <v/>
      </c>
      <c r="E26" s="35"/>
      <c r="F26" s="6"/>
      <c r="G26" s="35"/>
      <c r="H26" s="36"/>
      <c r="I26" s="36"/>
    </row>
    <row r="27" ht="15.0" customHeight="1">
      <c r="A27" s="37"/>
      <c r="B27" s="35"/>
      <c r="C27" s="35"/>
      <c r="D27" s="49" t="str">
        <f t="array" ref="D27">IFERROR(INDEX(Students!$B$2:$B$106,MATCH($C27,Students!$A$2:$A$106,0)),"")</f>
        <v/>
      </c>
      <c r="E27" s="35"/>
      <c r="F27" s="6"/>
      <c r="G27" s="35"/>
      <c r="H27" s="36"/>
      <c r="I27" s="36"/>
    </row>
    <row r="28" ht="15.0" customHeight="1">
      <c r="A28" s="37"/>
      <c r="B28" s="35"/>
      <c r="C28" s="35"/>
      <c r="D28" s="49" t="str">
        <f t="array" ref="D28">IFERROR(INDEX(Students!$B$2:$B$106,MATCH($C28,Students!$A$2:$A$106,0)),"")</f>
        <v/>
      </c>
      <c r="E28" s="35"/>
      <c r="F28" s="6"/>
      <c r="G28" s="35"/>
      <c r="H28" s="36"/>
      <c r="I28" s="36"/>
    </row>
    <row r="29" ht="15.0" customHeight="1">
      <c r="A29" s="37"/>
      <c r="B29" s="35"/>
      <c r="C29" s="35"/>
      <c r="D29" s="49" t="str">
        <f t="array" ref="D29">IFERROR(INDEX(Students!$B$2:$B$106,MATCH($C29,Students!$A$2:$A$106,0)),"")</f>
        <v/>
      </c>
      <c r="E29" s="35"/>
      <c r="F29" s="6"/>
      <c r="G29" s="35"/>
      <c r="H29" s="36"/>
      <c r="I29" s="36"/>
    </row>
    <row r="30" ht="15.0" customHeight="1">
      <c r="A30" s="37"/>
      <c r="B30" s="35"/>
      <c r="C30" s="35"/>
      <c r="D30" s="49" t="str">
        <f t="array" ref="D30">IFERROR(INDEX(Students!$B$2:$B$106,MATCH($C30,Students!$A$2:$A$106,0)),"")</f>
        <v/>
      </c>
      <c r="E30" s="35"/>
      <c r="F30" s="6"/>
      <c r="G30" s="35"/>
      <c r="H30" s="36"/>
      <c r="I30" s="36"/>
    </row>
    <row r="31" ht="15.0" customHeight="1">
      <c r="A31" s="37"/>
      <c r="B31" s="35"/>
      <c r="C31" s="35"/>
      <c r="D31" s="49" t="str">
        <f t="array" ref="D31">IFERROR(INDEX(Students!$B$2:$B$106,MATCH($C31,Students!$A$2:$A$106,0)),"")</f>
        <v/>
      </c>
      <c r="E31" s="35"/>
      <c r="F31" s="6"/>
      <c r="G31" s="35"/>
      <c r="H31" s="36"/>
      <c r="I31" s="36"/>
    </row>
    <row r="32" ht="15.0" customHeight="1">
      <c r="A32" s="37"/>
      <c r="B32" s="35"/>
      <c r="C32" s="35"/>
      <c r="D32" s="49" t="str">
        <f t="array" ref="D32">IFERROR(INDEX(Students!$B$2:$B$106,MATCH($C32,Students!$A$2:$A$106,0)),"")</f>
        <v/>
      </c>
      <c r="E32" s="35"/>
      <c r="F32" s="6"/>
      <c r="G32" s="35"/>
      <c r="H32" s="36"/>
      <c r="I32" s="36"/>
    </row>
    <row r="33" ht="15.0" customHeight="1">
      <c r="A33" s="37"/>
      <c r="B33" s="35"/>
      <c r="C33" s="35"/>
      <c r="D33" s="49" t="str">
        <f t="array" ref="D33">IFERROR(INDEX(Students!$B$2:$B$106,MATCH($C33,Students!$A$2:$A$106,0)),"")</f>
        <v/>
      </c>
      <c r="E33" s="35"/>
      <c r="F33" s="6"/>
      <c r="G33" s="35"/>
      <c r="H33" s="36"/>
      <c r="I33" s="36"/>
    </row>
    <row r="34" ht="15.0" customHeight="1">
      <c r="A34" s="37"/>
      <c r="B34" s="35"/>
      <c r="C34" s="35"/>
      <c r="D34" s="49" t="str">
        <f t="array" ref="D34">IFERROR(INDEX(Students!$B$2:$B$106,MATCH($C34,Students!$A$2:$A$106,0)),"")</f>
        <v/>
      </c>
      <c r="E34" s="35"/>
      <c r="F34" s="6"/>
      <c r="G34" s="35"/>
      <c r="H34" s="36"/>
      <c r="I34" s="36"/>
    </row>
    <row r="35" ht="15.0" customHeight="1">
      <c r="A35" s="37"/>
      <c r="B35" s="35"/>
      <c r="C35" s="35"/>
      <c r="D35" s="49" t="str">
        <f t="array" ref="D35">IFERROR(INDEX(Students!$B$2:$B$106,MATCH($C35,Students!$A$2:$A$106,0)),"")</f>
        <v/>
      </c>
      <c r="E35" s="35"/>
      <c r="F35" s="6"/>
      <c r="G35" s="35"/>
      <c r="H35" s="36"/>
      <c r="I35" s="36"/>
    </row>
    <row r="36" ht="15.0" customHeight="1">
      <c r="A36" s="37"/>
      <c r="B36" s="35"/>
      <c r="C36" s="35"/>
      <c r="D36" s="49" t="str">
        <f t="array" ref="D36">IFERROR(INDEX(Students!$B$2:$B$106,MATCH($C36,Students!$A$2:$A$106,0)),"")</f>
        <v/>
      </c>
      <c r="E36" s="35"/>
      <c r="F36" s="6"/>
      <c r="G36" s="35"/>
      <c r="H36" s="36"/>
      <c r="I36" s="36"/>
    </row>
    <row r="37" ht="15.0" customHeight="1">
      <c r="A37" s="37"/>
      <c r="B37" s="35"/>
      <c r="C37" s="35"/>
      <c r="D37" s="49" t="str">
        <f t="array" ref="D37">IFERROR(INDEX(Students!$B$2:$B$106,MATCH($C37,Students!$A$2:$A$106,0)),"")</f>
        <v/>
      </c>
      <c r="E37" s="35"/>
      <c r="F37" s="6"/>
      <c r="G37" s="35"/>
      <c r="H37" s="36"/>
      <c r="I37" s="36"/>
    </row>
    <row r="38" ht="15.0" customHeight="1">
      <c r="A38" s="37"/>
      <c r="B38" s="35"/>
      <c r="C38" s="35"/>
      <c r="D38" s="49" t="str">
        <f t="array" ref="D38">IFERROR(INDEX(Students!$B$2:$B$106,MATCH($C38,Students!$A$2:$A$106,0)),"")</f>
        <v/>
      </c>
      <c r="E38" s="35"/>
      <c r="F38" s="6"/>
      <c r="G38" s="35"/>
      <c r="H38" s="36"/>
      <c r="I38" s="36"/>
    </row>
    <row r="39" ht="15.0" customHeight="1">
      <c r="A39" s="37"/>
      <c r="B39" s="35"/>
      <c r="C39" s="35"/>
      <c r="D39" s="49" t="str">
        <f t="array" ref="D39">IFERROR(INDEX(Students!$B$2:$B$106,MATCH($C39,Students!$A$2:$A$106,0)),"")</f>
        <v/>
      </c>
      <c r="E39" s="35"/>
      <c r="F39" s="6"/>
      <c r="G39" s="35"/>
      <c r="H39" s="36"/>
      <c r="I39" s="36"/>
    </row>
    <row r="40" ht="15.0" customHeight="1">
      <c r="A40" s="37"/>
      <c r="B40" s="35"/>
      <c r="C40" s="35"/>
      <c r="D40" s="49" t="str">
        <f t="array" ref="D40">IFERROR(INDEX(Students!$B$2:$B$106,MATCH($C40,Students!$A$2:$A$106,0)),"")</f>
        <v/>
      </c>
      <c r="E40" s="35"/>
      <c r="F40" s="6"/>
      <c r="G40" s="35"/>
      <c r="H40" s="36"/>
      <c r="I40" s="36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dataValidations>
    <dataValidation type="list" allowBlank="1" sqref="G3:G40">
      <formula1>"Cash,e-Transfer,Card,Cheque,Other"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8.0"/>
    <col customWidth="1" min="4" max="5" width="16.0"/>
    <col customWidth="1" min="6" max="26" width="8.71"/>
  </cols>
  <sheetData>
    <row r="1">
      <c r="A1" s="1"/>
      <c r="B1" s="1"/>
      <c r="C1" s="1"/>
    </row>
    <row r="2" ht="19.5" customHeight="1">
      <c r="A2" s="1"/>
      <c r="B2" s="5" t="s">
        <v>294</v>
      </c>
      <c r="C2" s="1"/>
    </row>
    <row r="3" ht="15.0" customHeight="1">
      <c r="A3" s="1"/>
      <c r="B3" s="71" t="s">
        <v>295</v>
      </c>
      <c r="C3" s="1"/>
    </row>
    <row r="4">
      <c r="A4" s="1"/>
      <c r="B4" s="1"/>
      <c r="C4" s="1"/>
    </row>
    <row r="5" ht="15.0" customHeight="1">
      <c r="A5" s="1"/>
      <c r="B5" s="72" t="s">
        <v>296</v>
      </c>
      <c r="C5" s="73"/>
    </row>
    <row r="6" ht="15.0" customHeight="1">
      <c r="A6" s="1"/>
      <c r="B6" s="74" t="s">
        <v>297</v>
      </c>
      <c r="C6" s="75">
        <f>COUNTIF(Students!P2:P106,"Active")</f>
        <v>8</v>
      </c>
    </row>
    <row r="7" ht="15.0" customHeight="1">
      <c r="A7" s="1"/>
      <c r="B7" s="74" t="s">
        <v>298</v>
      </c>
      <c r="C7" s="75">
        <f>COUNTIF(Students!P2:P106,"Inactive")</f>
        <v>7</v>
      </c>
    </row>
    <row r="8">
      <c r="A8" s="1"/>
      <c r="B8" s="1"/>
      <c r="C8" s="1"/>
    </row>
    <row r="9" ht="15.0" customHeight="1">
      <c r="A9" s="1"/>
      <c r="B9" s="72" t="s">
        <v>299</v>
      </c>
      <c r="C9" s="73"/>
    </row>
    <row r="10" ht="15.0" customHeight="1">
      <c r="A10" s="1"/>
      <c r="B10" s="74" t="s">
        <v>300</v>
      </c>
      <c r="C10" s="76">
        <f>'Fees Aug 2026'!G11</f>
        <v>930</v>
      </c>
    </row>
    <row r="11" ht="15.0" customHeight="1">
      <c r="A11" s="1"/>
      <c r="B11" s="74" t="s">
        <v>301</v>
      </c>
      <c r="C11" s="76">
        <f>'Fees Aug 2026'!H11</f>
        <v>960</v>
      </c>
    </row>
    <row r="12" ht="15.0" customHeight="1">
      <c r="A12" s="1"/>
      <c r="B12" s="74" t="s">
        <v>302</v>
      </c>
      <c r="C12" s="76">
        <f>'Fees Aug 2026'!I11</f>
        <v>-30</v>
      </c>
    </row>
    <row r="13" ht="15.0" customHeight="1">
      <c r="A13" s="1"/>
      <c r="B13" s="74" t="s">
        <v>303</v>
      </c>
      <c r="C13" s="77">
        <f>IFERROR('Fees Aug 2026'!H11/'Fees Aug 2026'!G11,0)</f>
        <v>1.032258065</v>
      </c>
    </row>
    <row r="14">
      <c r="A14" s="1"/>
      <c r="B14" s="1"/>
      <c r="C14" s="1"/>
    </row>
    <row r="15" ht="15.0" customHeight="1">
      <c r="A15" s="1"/>
      <c r="B15" s="72" t="s">
        <v>202</v>
      </c>
      <c r="C15" s="73"/>
    </row>
    <row r="16" ht="15.0" customHeight="1">
      <c r="A16" s="1"/>
      <c r="B16" s="74" t="s">
        <v>304</v>
      </c>
      <c r="C16" s="75">
        <f>MAX('Attendance Aug 2026'!AK5:AK8)</f>
        <v>16</v>
      </c>
    </row>
    <row r="17" ht="15.0" customHeight="1">
      <c r="A17" s="1"/>
      <c r="B17" s="74" t="s">
        <v>305</v>
      </c>
      <c r="C17" s="77">
        <f>IFERROR(AVERAGE('Attendance Aug 2026'!AL5:AL8),"")</f>
        <v>0.9094551282</v>
      </c>
    </row>
    <row r="18">
      <c r="A18" s="1"/>
      <c r="B18" s="1"/>
      <c r="C18" s="1"/>
    </row>
    <row r="19">
      <c r="A19" s="1"/>
      <c r="B19" s="72" t="s">
        <v>306</v>
      </c>
      <c r="C19" s="73"/>
      <c r="D19" s="73"/>
      <c r="E19" s="73"/>
    </row>
    <row r="20">
      <c r="A20" s="1"/>
      <c r="B20" s="45" t="s">
        <v>285</v>
      </c>
      <c r="C20" s="45" t="s">
        <v>307</v>
      </c>
      <c r="D20" s="45" t="s">
        <v>308</v>
      </c>
      <c r="E20" s="45" t="s">
        <v>309</v>
      </c>
    </row>
    <row r="21" ht="15.75" customHeight="1">
      <c r="A21" s="1"/>
      <c r="B21" s="49" t="s">
        <v>290</v>
      </c>
      <c r="C21" s="78">
        <f>'Fees Aug 2026'!G11</f>
        <v>930</v>
      </c>
      <c r="D21" s="78">
        <f>'Fees Aug 2026'!H11</f>
        <v>960</v>
      </c>
      <c r="E21" s="78">
        <f>'Fees Aug 2026'!I11</f>
        <v>-30</v>
      </c>
    </row>
    <row r="22" ht="15.75" customHeight="1">
      <c r="A22" s="1"/>
      <c r="B22" s="49" t="s">
        <v>310</v>
      </c>
      <c r="C22" s="78">
        <f>'Fees Sep 2026'!G15</f>
        <v>1355</v>
      </c>
      <c r="D22" s="78">
        <f>'Fees Sep 2026'!H15</f>
        <v>1265</v>
      </c>
      <c r="E22" s="78">
        <f>'Fees Sep 2026'!I15</f>
        <v>90</v>
      </c>
    </row>
    <row r="23" ht="15.75" customHeight="1">
      <c r="A23" s="1"/>
      <c r="B23" s="49" t="s">
        <v>311</v>
      </c>
      <c r="C23" s="78">
        <f>'Fees Oct 2026'!G14</f>
        <v>1710</v>
      </c>
      <c r="D23" s="78">
        <f>'Fees Oct 2026'!H14</f>
        <v>540</v>
      </c>
      <c r="E23" s="78">
        <f>'Fees Oct 2026'!I14</f>
        <v>1170</v>
      </c>
    </row>
    <row r="24" ht="15.75" customHeight="1">
      <c r="A24" s="1"/>
      <c r="B24" s="49" t="s">
        <v>312</v>
      </c>
      <c r="C24" s="78">
        <f>'Fees Nov 2026'!F9</f>
        <v>0</v>
      </c>
      <c r="D24" s="78">
        <f>'Fees Nov 2026'!G9</f>
        <v>0</v>
      </c>
      <c r="E24" s="78">
        <f>'Fees Nov 2026'!H9</f>
        <v>0</v>
      </c>
    </row>
    <row r="25" ht="15.75" customHeight="1">
      <c r="A25" s="1"/>
      <c r="B25" s="49" t="s">
        <v>313</v>
      </c>
      <c r="C25" s="78">
        <f>'Fees Dec 2026'!F9</f>
        <v>0</v>
      </c>
      <c r="D25" s="78">
        <f>'Fees Dec 2026'!G9</f>
        <v>0</v>
      </c>
      <c r="E25" s="78">
        <f>'Fees Dec 2026'!H9</f>
        <v>0</v>
      </c>
    </row>
    <row r="26" ht="15.75" customHeight="1">
      <c r="A26" s="1"/>
      <c r="B26" s="79" t="s">
        <v>314</v>
      </c>
      <c r="C26" s="61">
        <f t="shared" ref="C26:E26" si="1">SUM(C21:C25)</f>
        <v>3995</v>
      </c>
      <c r="D26" s="61">
        <f t="shared" si="1"/>
        <v>2765</v>
      </c>
      <c r="E26" s="61">
        <f t="shared" si="1"/>
        <v>1230</v>
      </c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paperSize="9" orientation="portrait"/>
  <drawing r:id="rId1"/>
</worksheet>
</file>